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usap\Downloads\"/>
    </mc:Choice>
  </mc:AlternateContent>
  <xr:revisionPtr revIDLastSave="0" documentId="13_ncr:1_{36934579-FBE9-4782-9AFA-D63E15482B6E}" xr6:coauthVersionLast="47" xr6:coauthVersionMax="47" xr10:uidLastSave="{00000000-0000-0000-0000-000000000000}"/>
  <bookViews>
    <workbookView xWindow="20370" yWindow="-120" windowWidth="29040" windowHeight="15720" xr2:uid="{9CE24166-2D90-4D68-843B-4BBEB80A4C82}"/>
  </bookViews>
  <sheets>
    <sheet name="InstaPay Participants" sheetId="7" r:id="rId1"/>
    <sheet name="PESONet Participants" sheetId="8" r:id="rId2"/>
    <sheet name="InstaPay QR Participants" sheetId="9" r:id="rId3"/>
    <sheet name="InstaPay Raw" sheetId="2" state="hidden" r:id="rId4"/>
    <sheet name="PESONet Raw" sheetId="1" state="hidden" r:id="rId5"/>
    <sheet name="InstaPay QR Raw" sheetId="3" state="hidden" r:id="rId6"/>
    <sheet name="QR Ph P2M Participants" sheetId="10" r:id="rId7"/>
    <sheet name="QR Ph P2M Raw" sheetId="4" state="hidden" r:id="rId8"/>
    <sheet name="Bills Pay QR Participants" sheetId="11" r:id="rId9"/>
    <sheet name="Bills Pay QR Raw" sheetId="5" state="hidden" r:id="rId10"/>
    <sheet name="EGov Pay Participants" sheetId="12" r:id="rId11"/>
    <sheet name="EGov Pay Raw" sheetId="6" state="hidden" r:id="rId12"/>
  </sheets>
  <externalReferences>
    <externalReference r:id="rId13"/>
  </externalReferences>
  <definedNames>
    <definedName name="_AMO_SingleObject_223786361_ROM_F0.SEC2.Tabulate_1.SEC1.BDY.Cross_tabular_summary_report_Table_1" localSheetId="11" hidden="1">#REF!</definedName>
    <definedName name="_AMO_SingleObject_223786361_ROM_F0.SEC2.Tabulate_1.SEC1.BDY.Cross_tabular_summary_report_Table_1" hidden="1">#REF!</definedName>
    <definedName name="_AMO_SingleObject_223786361_ROM_F0.SEC2.Tabulate_1.SEC1.FTR.Cross_tabular_summary_report_Table_1" hidden="1">#REF!</definedName>
    <definedName name="_AMO_SingleObject_223786361_ROM_F0.SEC2.Tabulate_1.SEC1.HDR.TXT1" hidden="1">#REF!</definedName>
    <definedName name="_AMO_SingleObject_223786361_ROM_F0.SEC2.Tabulate_1.SEC1.HDR.TXT2" hidden="1">#REF!</definedName>
    <definedName name="_AMO_SingleObject_223786361_ROM_F0.SEC2.Tabulate_1.SEC1.HDR.TXT3" hidden="1">#REF!</definedName>
    <definedName name="_AMO_SingleObject_223786361_ROM_F0.SEC2.Tabulate_1.SEC2.BDY.Cross_tabular_summary_report_Table_1" hidden="1">#REF!</definedName>
    <definedName name="_AMO_SingleObject_223786361_ROM_F0.SEC2.Tabulate_1.SEC2.FTR.Cross_tabular_summary_report_Table_1" hidden="1">#REF!</definedName>
    <definedName name="_AMO_SingleObject_223786361_ROM_F0.SEC2.Tabulate_1.SEC2.HDR.Cross_tabular_summary_report_Table_1" hidden="1">#REF!</definedName>
    <definedName name="_AMO_SingleObject_223786361_ROM_F0.SEC2.Tabulate_1.SEC2.HDR.Cross_tabular_summary_report_Table_1_2" hidden="1">#REF!</definedName>
    <definedName name="_AMO_SingleObject_223786361_ROM_F0.SEC2.Tabulate_1.SEC2.HDR.Cross_tabular_summary_report_Table_1_3" hidden="1">#REF!</definedName>
    <definedName name="_AMO_SingleObject_223786361_ROM_F0.SEC2.Tabulate_1.SEC3.BDY.Cross_tabular_summary_report_Table_1" hidden="1">#REF!</definedName>
    <definedName name="_AMO_SingleObject_223786361_ROM_F0.SEC2.Tabulate_1.SEC3.FTR.TXT1" hidden="1">#REF!</definedName>
    <definedName name="_AMO_SingleObject_223786361_ROM_F0.SEC2.Tabulate_1.SEC3.HDR.Cross_tabular_summary_report_Table_1" hidden="1">#REF!</definedName>
    <definedName name="_AMO_SingleObject_223786361_ROM_F0.SEC2.Tabulate_1.SEC3.HDR.Cross_tabular_summary_report_Table_1_2" hidden="1">#REF!</definedName>
    <definedName name="_AMO_SingleObject_223786361_ROM_F0.SEC2.Tabulate_1.SEC3.HDR.Cross_tabular_summary_report_Table_1_3" hidden="1">#REF!</definedName>
    <definedName name="_AMO_SingleObject_726597594_ROM_F0.SEC2.Tabulate_1.SEC1.FTR.Cross_tabular_summary_report_Table_1" hidden="1">#REF!</definedName>
    <definedName name="_AMO_SingleObject_726597594_ROM_F0.SEC2.Tabulate_1.SEC1.HDR.TXT1" hidden="1">#REF!</definedName>
    <definedName name="_AMO_SingleObject_726597594_ROM_F0.SEC2.Tabulate_1.SEC1.HDR.TXT2" hidden="1">#REF!</definedName>
    <definedName name="_AMO_SingleObject_726597594_ROM_F0.SEC2.Tabulate_1.SEC1.HDR.TXT3" hidden="1">#REF!</definedName>
    <definedName name="_AMO_SingleObject_726597594_ROM_F0.SEC2.Tabulate_1.SEC2.BDY.Cross_tabular_summary_report_Table_1" hidden="1">#REF!</definedName>
    <definedName name="_AMO_SingleObject_726597594_ROM_F0.SEC2.Tabulate_1.SEC2.FTR.Cross_tabular_summary_report_Table_1" hidden="1">#REF!</definedName>
    <definedName name="_AMO_SingleObject_726597594_ROM_F0.SEC2.Tabulate_1.SEC2.HDR.Cross_tabular_summary_report_Table_1" hidden="1">#REF!</definedName>
    <definedName name="_AMO_SingleObject_726597594_ROM_F0.SEC2.Tabulate_1.SEC2.HDR.Cross_tabular_summary_report_Table_1_2" hidden="1">#REF!</definedName>
    <definedName name="_AMO_SingleObject_726597594_ROM_F0.SEC2.Tabulate_1.SEC2.HDR.Cross_tabular_summary_report_Table_1_3" hidden="1">#REF!</definedName>
    <definedName name="_AMO_SingleObject_726597594_ROM_F0.SEC2.Tabulate_1.SEC3.BDY.Cross_tabular_summary_report_Table_1" hidden="1">#REF!</definedName>
    <definedName name="_AMO_SingleObject_726597594_ROM_F0.SEC2.Tabulate_1.SEC3.FTR.Cross_tabular_summary_report_Table_1" hidden="1">#REF!</definedName>
    <definedName name="_AMO_SingleObject_726597594_ROM_F0.SEC2.Tabulate_1.SEC3.HDR.Cross_tabular_summary_report_Table_1" hidden="1">#REF!</definedName>
    <definedName name="_AMO_SingleObject_726597594_ROM_F0.SEC2.Tabulate_1.SEC3.HDR.Cross_tabular_summary_report_Table_1_2" hidden="1">#REF!</definedName>
    <definedName name="_AMO_SingleObject_726597594_ROM_F0.SEC2.Tabulate_1.SEC3.HDR.Cross_tabular_summary_report_Table_1_3" hidden="1">#REF!</definedName>
    <definedName name="_AMO_SingleObject_726597594_ROM_F0.SEC2.Tabulate_1.SEC4.BDY.Cross_tabular_summary_report_Table_1" hidden="1">#REF!</definedName>
    <definedName name="_AMO_SingleObject_726597594_ROM_F0.SEC2.Tabulate_1.SEC4.FTR.TXT1" hidden="1">#REF!</definedName>
    <definedName name="_AMO_SingleObject_726597594_ROM_F0.SEC2.Tabulate_1.SEC4.HDR.Cross_tabular_summary_report_Table_1" hidden="1">#REF!</definedName>
    <definedName name="_AMO_SingleObject_726597594_ROM_F0.SEC2.Tabulate_1.SEC4.HDR.Cross_tabular_summary_report_Table_1_2" hidden="1">#REF!</definedName>
    <definedName name="_AMO_SingleObject_726597594_ROM_F0.SEC2.Tabulate_1.SEC4.HDR.Cross_tabular_summary_report_Table_1_3" hidden="1">#REF!</definedName>
    <definedName name="_AMO_SingleObject_959895014_ROM_F0.SEC2.Tabulate_1.SEC1.FTR.Cross_tabular_summary_report_Table_1" hidden="1">#REF!</definedName>
    <definedName name="_AMO_SingleObject_959895014_ROM_F0.SEC2.Tabulate_1.SEC1.HDR.TXT1" hidden="1">#REF!</definedName>
    <definedName name="_AMO_SingleObject_959895014_ROM_F0.SEC2.Tabulate_1.SEC1.HDR.TXT2" hidden="1">#REF!</definedName>
    <definedName name="_AMO_SingleObject_959895014_ROM_F0.SEC2.Tabulate_1.SEC1.HDR.TXT3" hidden="1">#REF!</definedName>
    <definedName name="_AMO_SingleObject_959895014_ROM_F0.SEC2.Tabulate_1.SEC2.BDY.Cross_tabular_summary_report_Table_1" hidden="1">#REF!</definedName>
    <definedName name="_AMO_SingleObject_959895014_ROM_F0.SEC2.Tabulate_1.SEC2.FTR.Cross_tabular_summary_report_Table_1" hidden="1">#REF!</definedName>
    <definedName name="_AMO_SingleObject_959895014_ROM_F0.SEC2.Tabulate_1.SEC2.HDR.Cross_tabular_summary_report_Table_1" hidden="1">#REF!</definedName>
    <definedName name="_AMO_SingleObject_959895014_ROM_F0.SEC2.Tabulate_1.SEC2.HDR.Cross_tabular_summary_report_Table_1_2" hidden="1">#REF!</definedName>
    <definedName name="_AMO_SingleObject_959895014_ROM_F0.SEC2.Tabulate_1.SEC2.HDR.Cross_tabular_summary_report_Table_1_3" hidden="1">#REF!</definedName>
    <definedName name="_AMO_SingleObject_959895014_ROM_F0.SEC2.Tabulate_1.SEC3.BDY.Cross_tabular_summary_report_Table_1" hidden="1">#REF!</definedName>
    <definedName name="_AMO_SingleObject_959895014_ROM_F0.SEC2.Tabulate_1.SEC3.FTR.TXT1" hidden="1">#REF!</definedName>
    <definedName name="_AMO_SingleObject_959895014_ROM_F0.SEC2.Tabulate_1.SEC3.HDR.Cross_tabular_summary_report_Table_1" hidden="1">#REF!</definedName>
    <definedName name="_AMO_SingleObject_959895014_ROM_F0.SEC2.Tabulate_1.SEC3.HDR.Cross_tabular_summary_report_Table_1_2" hidden="1">#REF!</definedName>
    <definedName name="_AMO_SingleObject_959895014_ROM_F0.SEC2.Tabulate_1.SEC3.HDR.Cross_tabular_summary_report_Table_1_3" hidden="1">#REF!</definedName>
    <definedName name="_xlnm._FilterDatabase" localSheetId="9" hidden="1">'Bills Pay QR Raw'!#REF!</definedName>
    <definedName name="_xlnm._FilterDatabase" localSheetId="11" hidden="1">'EGov Pay Raw'!#REF!</definedName>
    <definedName name="_xlnm._FilterDatabase" localSheetId="5" hidden="1">'InstaPay QR Raw'!$A$63:$B$67</definedName>
    <definedName name="_xlnm._FilterDatabase" localSheetId="3" hidden="1">'InstaPay Raw'!$A$82:$B$88</definedName>
    <definedName name="_xlnm._FilterDatabase" localSheetId="4" hidden="1">'PESONet Raw'!#REF!</definedName>
    <definedName name="_xlnm._FilterDatabase" localSheetId="7" hidden="1">'QR Ph P2M Raw'!$A$54:$B$57</definedName>
    <definedName name="JR_PAGE_ANCHOR_0_1">#REF!</definedName>
    <definedName name="LIST">#REF!</definedName>
    <definedName name="PCE_Grw_Anl">#REF!</definedName>
    <definedName name="PCE_Inf_Qrt">#REF!</definedName>
    <definedName name="PCE_IPIN_Anl">#REF!</definedName>
    <definedName name="PCE_Lev_Anl">#REF!</definedName>
    <definedName name="PCE_Per_Anl">#REF!</definedName>
    <definedName name="PctChangeVal_fromLaunch">#REF!</definedName>
    <definedName name="PctChangeVol_fromLaunch">#REF!</definedName>
    <definedName name="peso_conversion" comment="Conversion rate of PHP to USD">#REF!</definedName>
    <definedName name="Population">#REF!</definedName>
    <definedName name="scenario">#REF!</definedName>
    <definedName name="value">#REF!</definedName>
    <definedName name="volu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A10" i="6"/>
  <c r="A50" i="5"/>
  <c r="A33" i="5"/>
  <c r="A17" i="5"/>
  <c r="G13" i="5"/>
  <c r="F13" i="5"/>
  <c r="E13" i="5"/>
  <c r="H12" i="5"/>
  <c r="H11" i="5"/>
  <c r="H10" i="5"/>
  <c r="A10" i="5"/>
  <c r="H9" i="5"/>
  <c r="H8" i="5"/>
  <c r="H13" i="5" s="1"/>
  <c r="B3" i="5"/>
  <c r="A57" i="4"/>
  <c r="A58" i="4" s="1"/>
  <c r="A59" i="4" s="1"/>
  <c r="A45" i="4"/>
  <c r="A31" i="4"/>
  <c r="A32" i="4" s="1"/>
  <c r="A33" i="4" s="1"/>
  <c r="G13" i="4"/>
  <c r="F13" i="4"/>
  <c r="E13" i="4"/>
  <c r="H13" i="4" s="1"/>
  <c r="H12" i="4"/>
  <c r="H11" i="4"/>
  <c r="H10" i="4"/>
  <c r="A10" i="4"/>
  <c r="A11" i="4" s="1"/>
  <c r="A12" i="4" s="1"/>
  <c r="A13" i="4" s="1"/>
  <c r="A14" i="4" s="1"/>
  <c r="A15" i="4" s="1"/>
  <c r="A16" i="4" s="1"/>
  <c r="A17" i="4" s="1"/>
  <c r="H9" i="4"/>
  <c r="H8" i="4"/>
  <c r="B3" i="4"/>
  <c r="A74" i="3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66" i="3"/>
  <c r="A67" i="3" s="1"/>
  <c r="A68" i="3" s="1"/>
  <c r="A52" i="3"/>
  <c r="A53" i="3" s="1"/>
  <c r="A54" i="3" s="1"/>
  <c r="A55" i="3" s="1"/>
  <c r="A56" i="3" s="1"/>
  <c r="A57" i="3" s="1"/>
  <c r="A58" i="3" s="1"/>
  <c r="A59" i="3" s="1"/>
  <c r="A60" i="3" s="1"/>
  <c r="A32" i="3"/>
  <c r="A33" i="3" s="1"/>
  <c r="A34" i="3" s="1"/>
  <c r="A35" i="3" s="1"/>
  <c r="A36" i="3" s="1"/>
  <c r="A37" i="3" s="1"/>
  <c r="A38" i="3" s="1"/>
  <c r="A39" i="3" s="1"/>
  <c r="G13" i="3"/>
  <c r="F13" i="3"/>
  <c r="E13" i="3"/>
  <c r="H12" i="3"/>
  <c r="H11" i="3"/>
  <c r="H10" i="3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H9" i="3"/>
  <c r="H8" i="3"/>
  <c r="H13" i="3" s="1"/>
  <c r="B3" i="3"/>
  <c r="H13" i="2"/>
  <c r="G13" i="2"/>
  <c r="F13" i="2"/>
  <c r="E13" i="2"/>
  <c r="B3" i="2"/>
  <c r="E1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tc={690559DF-2184-4308-B4AB-82BA03D3F6EB}</author>
    <author>tc={89A6C3B0-5388-4B35-9824-211742B60A9A}</author>
    <author>tc={EDAE225F-3FA2-48C3-A11D-E96E50C96414}</author>
    <author>tc={FBFECF5F-B9E4-486C-850E-0B3A11F54BAA}</author>
  </authors>
  <commentList>
    <comment ref="B7" authorId="0" shapeId="0" xr:uid="{690559DF-2184-4308-B4AB-82BA03D3F6EB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sort alphabetically, particularly on those BSIs with the same starting letter (e.g. Bank of China, Bank of Commerce, Bank of the Philippine Islands
Reply:
    Same comment, for checking please, thanks!
Reply:
    Okay!</t>
      </text>
    </comment>
    <comment ref="L9" authorId="1" shapeId="0" xr:uid="{89A6C3B0-5388-4B35-9824-211742B60A9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checking please, as per previous data, BSI is not yet live
Reply:
    Hi Ken! TFSPH went live as Receiver Only since 17 November 2025 (accdg to the Use Cases report). However, we mistakenly input it as Sender/Receiver last month hence, for December we placed it under the correct table.</t>
      </text>
    </comment>
    <comment ref="B29" authorId="2" shapeId="0" xr:uid="{EDAE225F-3FA2-48C3-A11D-E96E50C96414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confirm the official name of the BSI, per checking the official name is The Hongkong and Shanghai Banking Corporation Limited 
Reply:
    Same comment, for checking please, thanks!
Reply:
    Noted!</t>
      </text>
    </comment>
    <comment ref="B33" authorId="3" shapeId="0" xr:uid="{FBFECF5F-B9E4-486C-850E-0B3A11F54BAA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sort alphabetically
Reply:
    Same comment
Reply:
    Okay!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tc={0E92AEA5-A756-42D6-AA10-02F1150A303F}</author>
    <author>tc={28340817-CD1A-457F-951C-3E5F165EA26E}</author>
    <author>tc={6E466256-57ED-4924-A240-340F06C36AF4}</author>
    <author>tc={D0BBFC91-4D55-4EC5-B28D-3CFFB6703F8D}</author>
    <author>tc={5A3AAD70-EB80-40A1-A0BA-A3A0FACB37E6}</author>
  </authors>
  <commentList>
    <comment ref="B7" authorId="0" shapeId="0" xr:uid="{0E92AEA5-A756-42D6-AA10-02F1150A303F}">
      <text>
        <t>[Threaded comment]
Your version of Excel allows you to read this threaded comment; however, any edits to it will get removed if the file is opened in a newer version of Excel. Learn more: https://go.microsoft.com/fwlink/?linkid=870924
Comment:
    Sort Alphabetically (BPI)
Reply:
    Okay!</t>
      </text>
    </comment>
    <comment ref="B29" authorId="1" shapeId="0" xr:uid="{28340817-CD1A-457F-951C-3E5F165EA26E}">
      <text>
        <t>[Threaded comment]
Your version of Excel allows you to read this threaded comment; however, any edits to it will get removed if the file is opened in a newer version of Excel. Learn more: https://go.microsoft.com/fwlink/?linkid=870924
Comment:
    Sort Alphabetically (Queen City)</t>
      </text>
    </comment>
    <comment ref="B53" authorId="2" shapeId="0" xr:uid="{6E466256-57ED-4924-A240-340F06C36AF4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add the inclusion of CARD MRI to new updates
Reply:
    Also suggest to change the official name to CARD MRI Rizal Bank, Inc.</t>
      </text>
    </comment>
    <comment ref="B66" authorId="3" shapeId="0" xr:uid="{D0BBFC91-4D55-4EC5-B28D-3CFFB6703F8D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add the inclusion ofTonik Digital Bank, Inc. to new updates</t>
      </text>
    </comment>
    <comment ref="B71" authorId="4" shapeId="0" xr:uid="{5A3AAD70-EB80-40A1-A0BA-A3A0FACB37E6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add the exclusion of Banana Fintech to new updates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tc={4C91C348-4661-46A0-B56C-86856117849B}</author>
  </authors>
  <commentList>
    <comment ref="B57" authorId="0" shapeId="0" xr:uid="{4C91C348-4661-46A0-B56C-86856117849B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add the inclusion of Tonik Digital Bank, Inc. to new updates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tc={EFB6DB5C-D304-46C7-82B0-86286A726B4F}</author>
    <author>tc={011C120F-DD23-4817-86FD-CCFADC65085A}</author>
  </authors>
  <commentList>
    <comment ref="B7" authorId="0" shapeId="0" xr:uid="{EFB6DB5C-D304-46C7-82B0-86286A726B4F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make the numbering continuous for all banks
Reply:
    Same comment for this month, thanks</t>
      </text>
    </comment>
    <comment ref="B42" authorId="1" shapeId="0" xr:uid="{011C120F-DD23-4817-86FD-CCFADC65085A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rearrange the ordering (Digital Banks then EMI)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tc={7A1D55FD-C3AE-44E3-A6F3-759610DFC7A1}</author>
    <author>tc={067D2E84-15C2-42EC-AE81-39F1BDB82AEE}</author>
  </authors>
  <commentList>
    <comment ref="B7" authorId="0" shapeId="0" xr:uid="{7A1D55FD-C3AE-44E3-A6F3-759610DFC7A1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make the numbering continuous for all banks
Reply:
    Same comment for this month, thanks</t>
      </text>
    </comment>
    <comment ref="L18" authorId="1" shapeId="0" xr:uid="{067D2E84-15C2-42EC-AE81-39F1BDB82A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Clarification, if this should be Bacoor, Cavite or Bacoor only
Reply:
    We place here as reported. No intermediary processing done.</t>
      </text>
    </comment>
  </commentList>
</comments>
</file>

<file path=xl/sharedStrings.xml><?xml version="1.0" encoding="utf-8"?>
<sst xmlns="http://schemas.openxmlformats.org/spreadsheetml/2006/main" count="1621" uniqueCount="228">
  <si>
    <t>PESONet</t>
  </si>
  <si>
    <t>Source: PCHC</t>
  </si>
  <si>
    <t>Universal and Commercial Banks (U/KBs)</t>
  </si>
  <si>
    <t>Summary</t>
  </si>
  <si>
    <t>UPDATE</t>
  </si>
  <si>
    <t>Al-Amanah Islamic Investment Bank of the Philippines</t>
  </si>
  <si>
    <t>U/KBs</t>
  </si>
  <si>
    <t>BSI</t>
  </si>
  <si>
    <t>New</t>
  </si>
  <si>
    <t>Old</t>
  </si>
  <si>
    <t>Asia United Bank Corporation</t>
  </si>
  <si>
    <t>TBs</t>
  </si>
  <si>
    <t>Australia and New Zealand Banking Group Ltd.</t>
  </si>
  <si>
    <t>RBs</t>
  </si>
  <si>
    <t>Bangkok Bank Public Co. Ltd.</t>
  </si>
  <si>
    <t>DB</t>
  </si>
  <si>
    <t>Bank of America, N.A</t>
  </si>
  <si>
    <t>EMI-NBFIs</t>
  </si>
  <si>
    <t>Bank of China (Hongkong) Limited-Manila Branch</t>
  </si>
  <si>
    <t>Total</t>
  </si>
  <si>
    <t>Bank of Commerce</t>
  </si>
  <si>
    <t>Bank of the Philippine Islands</t>
  </si>
  <si>
    <t>BDO Unibank, Inc.</t>
  </si>
  <si>
    <t>Cathay United Bank Co., Ltd. – Manila Branch</t>
  </si>
  <si>
    <t>China Banking Corporation</t>
  </si>
  <si>
    <t>CIMB Bank Philippines, Inc.</t>
  </si>
  <si>
    <t>Citibank, N.A.</t>
  </si>
  <si>
    <t>CTBC Bank (Philippines) Corporation</t>
  </si>
  <si>
    <t>Deutsche Bank AG</t>
  </si>
  <si>
    <t>Development Bank of the Philippines</t>
  </si>
  <si>
    <t>East West Banking Corporation</t>
  </si>
  <si>
    <t>Industrial and Commercial Bank of China, Ltd. – Manila Branch</t>
  </si>
  <si>
    <t>Industrial Bank of Korea Manila Branch</t>
  </si>
  <si>
    <t>JP Morgan Chase Bank, N.A.</t>
  </si>
  <si>
    <t>KEB Hana Bank – Manila Branch</t>
  </si>
  <si>
    <t>Land Bank of the Philippines</t>
  </si>
  <si>
    <t>Maybank Philippines, Inc.</t>
  </si>
  <si>
    <t>Mega International Commercial Bank Co., Ltd.</t>
  </si>
  <si>
    <t>Metropolitan Bank and Trust Company</t>
  </si>
  <si>
    <t>Mizuho Bank, Ltd. – Manila Branch</t>
  </si>
  <si>
    <t>MUFG Bank, Ltd.</t>
  </si>
  <si>
    <t>Philippine Bank of Communications</t>
  </si>
  <si>
    <t>Philippine National Bank</t>
  </si>
  <si>
    <t>Philippine Trust Company</t>
  </si>
  <si>
    <t>Philippine Veterans Bank</t>
  </si>
  <si>
    <t>Rizal Commercial Banking Corporation</t>
  </si>
  <si>
    <t>Robinsons Bank Corporation (merged with BPI)</t>
  </si>
  <si>
    <t>Security Bank Corporation</t>
  </si>
  <si>
    <t>Shinhan Bank – Manila Branch</t>
  </si>
  <si>
    <t>Standard Chartered Bank</t>
  </si>
  <si>
    <t>Sumitomo Mitsui Banking Corporation – Manila Branch</t>
  </si>
  <si>
    <t>The Hongkong &amp; Shanghai Banking Corporation</t>
  </si>
  <si>
    <t>Union Bank of the Philippines</t>
  </si>
  <si>
    <t>United Overseas Bank Limited, Manila Branch</t>
  </si>
  <si>
    <t>Thrift Banks (TBs)</t>
  </si>
  <si>
    <t>AllBank (A Thrift Bank), Inc.</t>
  </si>
  <si>
    <t>Bangko Kabayan, Inc. (A Private Development Bank)</t>
  </si>
  <si>
    <t>Bank of Makati (A Savings Bank), Inc.</t>
  </si>
  <si>
    <t>BDO Network Bank, Inc.</t>
  </si>
  <si>
    <t>BPI Direct BanKO, Inc., A Savings Bank</t>
  </si>
  <si>
    <t>China Bank Savings, Inc.</t>
  </si>
  <si>
    <t>City Savings Bank, Inc.</t>
  </si>
  <si>
    <t>Dumaguete City Development Bank, Inc.</t>
  </si>
  <si>
    <t>Equicom Savings Bank, Inc.</t>
  </si>
  <si>
    <t>First Consolidated Bank, Inc. (A Private Development Bank)</t>
  </si>
  <si>
    <t>LOLC Bank Philippines Inc.</t>
  </si>
  <si>
    <t>Malayan Savings Bank, Inc.</t>
  </si>
  <si>
    <t>Philippine Business Bank, Inc., A Savings Bank</t>
  </si>
  <si>
    <t>Philippine Savings Bank</t>
  </si>
  <si>
    <t>Producers Savings Bank Corporation</t>
  </si>
  <si>
    <t>Queen City Development Bank, Inc. or Queenbank, A Thrift Bank</t>
  </si>
  <si>
    <t>Sterling Bank of Asia, Inc. (A Savings Bank)</t>
  </si>
  <si>
    <t>UCPB Savings Bank</t>
  </si>
  <si>
    <t>Wealth Development Bank Corporation</t>
  </si>
  <si>
    <t>Yuanta Savings Bank Philippines, Inc.</t>
  </si>
  <si>
    <t xml:space="preserve"> </t>
  </si>
  <si>
    <t>Rural Banks (RBs)</t>
  </si>
  <si>
    <t>Agribusiness Rural Bank, Inc.</t>
  </si>
  <si>
    <t>Bangko Mabuhay (A Rural Bank), Inc.</t>
  </si>
  <si>
    <t>Bangko Nuestra Senora del Pilar, Inc. (A Rural Bank)</t>
  </si>
  <si>
    <t>Bayanihan Bank, Inc</t>
  </si>
  <si>
    <t>Biñan Rural Bank, Inc.</t>
  </si>
  <si>
    <t>BOF, Inc. (A Rural Bank)</t>
  </si>
  <si>
    <t>Camalig Bank, Inc. (A Rural Bank)</t>
  </si>
  <si>
    <t>Cantilan Bank, Inc. (A Rural Bank)</t>
  </si>
  <si>
    <t>Cebuana Lhuillier Rural Bank, Inc.</t>
  </si>
  <si>
    <t>Cooperative Bank of Quezon Province</t>
  </si>
  <si>
    <t>Dungganon Bank (A Microfinance Rural Bank), Inc.</t>
  </si>
  <si>
    <t>East West Rural Bank, Inc.</t>
  </si>
  <si>
    <t>Gateway Rural Bank, Inc.</t>
  </si>
  <si>
    <t>Guagua Rural Bank, Inc.</t>
  </si>
  <si>
    <t>Innovative Rural Bank, Inc. (A Rural Bank)</t>
  </si>
  <si>
    <t>Laguna Prestige Banking Corporation, (A Rural Bank)</t>
  </si>
  <si>
    <t>Malarayat Rural Bank, Inc.</t>
  </si>
  <si>
    <t>Maribank Philippines, Inc. (A Rural Bank)</t>
  </si>
  <si>
    <t>Money Mall Rural Bank, Inc.</t>
  </si>
  <si>
    <t>MVSM Bank (Rural Bank Since 1953), Inc.</t>
  </si>
  <si>
    <t>Netbank (A Rural Bank), Inc.</t>
  </si>
  <si>
    <t>New Rural Bank of San Leonardo (Nueva Ecija), Inc.</t>
  </si>
  <si>
    <t>Own Bank, The Rural Bank of Cavite City, Inc.</t>
  </si>
  <si>
    <t>Rang-Ay Bank, Inc. (A Rural Bank)</t>
  </si>
  <si>
    <t>RBT Bank, Inc., A Rural Bank</t>
  </si>
  <si>
    <t>Rural Bank of Angeles, Inc.</t>
  </si>
  <si>
    <t>Rural Bank of Bacolod City, Inc.</t>
  </si>
  <si>
    <t>Rural Bank of Bauang, Inc.</t>
  </si>
  <si>
    <t>Rural Bank of Digos, Inc.</t>
  </si>
  <si>
    <t>Rural Bank of Guinobatan, Inc.</t>
  </si>
  <si>
    <t>Rural Bank of La Paz, Inc.</t>
  </si>
  <si>
    <t>Rural Bank of Lebak (Sultan Kudarat), Inc.</t>
  </si>
  <si>
    <t>Rural Bank of Mangaldan, Inc.</t>
  </si>
  <si>
    <t>Rural Bank of Montalban, Inc.</t>
  </si>
  <si>
    <t>Rural Bank of Porac (Pampanga), Inc.</t>
  </si>
  <si>
    <t>Rural Bank of Rosario (La Union), Inc.</t>
  </si>
  <si>
    <t>Rural Bank of Sagay, Inc.</t>
  </si>
  <si>
    <t>Rural Bank of San Narciso, Inc.</t>
  </si>
  <si>
    <t>Rural Bank of Silay City, Inc.</t>
  </si>
  <si>
    <t>Rural Bank of Sta. Ignacia, Inc.</t>
  </si>
  <si>
    <t>Salmon Bank (Rural Bank) Inc</t>
  </si>
  <si>
    <t>Southeast Country Bank Inc. (A Rural Bank)</t>
  </si>
  <si>
    <t>Summit Bank (Rural Bank of Tublay, Inc.)</t>
  </si>
  <si>
    <t>Top Bank Philippines, Inc. (A Rural Bank)</t>
  </si>
  <si>
    <t>Vigan Banco Rural, Incorporada</t>
  </si>
  <si>
    <t>Zambales Rural Bank, Inc.</t>
  </si>
  <si>
    <t>Digital Banks</t>
  </si>
  <si>
    <t>GoTyme Bank Corporation</t>
  </si>
  <si>
    <t>Maya Bank, Inc.</t>
  </si>
  <si>
    <t>Tonik Digital Bank, Inc.</t>
  </si>
  <si>
    <t>Union Digital Bank</t>
  </si>
  <si>
    <t>UNObank, Inc.</t>
  </si>
  <si>
    <t>Electronic Money Issuers (EMI) - Others</t>
  </si>
  <si>
    <t>DCPAY Philippines, Inc.</t>
  </si>
  <si>
    <t>Easypay Global EMI Corp.</t>
  </si>
  <si>
    <t>GPay Network PH, Inc. (GrabPay)</t>
  </si>
  <si>
    <t>G-Xchange, Inc. (GCash)</t>
  </si>
  <si>
    <t>Lulu Financial Services (Phils.), Inc.</t>
  </si>
  <si>
    <t>Maya Philippines, Inc.</t>
  </si>
  <si>
    <t>Paymongo Payments, Inc.</t>
  </si>
  <si>
    <t>Philippine Digital Asset Exchange, Inc.</t>
  </si>
  <si>
    <t>PPS-PEPP Financial Services Corp. (PalawanPay)</t>
  </si>
  <si>
    <t>TagCash Ltd., Inc.</t>
  </si>
  <si>
    <t>TayoCash, Inc.</t>
  </si>
  <si>
    <t>USSC Money Services, Inc.</t>
  </si>
  <si>
    <t>Wise Pilipinas, Inc.</t>
  </si>
  <si>
    <t>InstaPay</t>
  </si>
  <si>
    <t>Source: BancNet</t>
  </si>
  <si>
    <t>Participants</t>
  </si>
  <si>
    <t>Sender/ Receiver</t>
  </si>
  <si>
    <t>Sender Only</t>
  </si>
  <si>
    <t>Receiver Only</t>
  </si>
  <si>
    <t>Sender/Receiver</t>
  </si>
  <si>
    <t>Toyota Financial Services Philippines Corporation</t>
  </si>
  <si>
    <t>The Hongkong and Shanghai Banking Corporation</t>
  </si>
  <si>
    <t>Card SME Bank Inc., A Thrift Bank</t>
  </si>
  <si>
    <t>ISLA Bank (A Thrift Bank), Inc.</t>
  </si>
  <si>
    <t>Legazpi Savings Bank, Inc.</t>
  </si>
  <si>
    <t>Pacific Ace Savings Bank, Inc.</t>
  </si>
  <si>
    <t>Sun Savings Bank, Inc.</t>
  </si>
  <si>
    <t>Luzon Development Bank</t>
  </si>
  <si>
    <t>Card Bank, Inc. (A Microfinance-Oriented Rural Bank)</t>
  </si>
  <si>
    <t>CARD MRI Rizal Bank, Inc.</t>
  </si>
  <si>
    <t>MariBank Philippines Inc.(A Rural Bank)</t>
  </si>
  <si>
    <t>Mindanao Consolidated Cooperative Bank</t>
  </si>
  <si>
    <t>Partner Rural Bank (Cotabato), Inc.</t>
  </si>
  <si>
    <t>Entrepreneur Rural Bank, Inc.</t>
  </si>
  <si>
    <t>Quezon Capital Rural Bank, Inc.</t>
  </si>
  <si>
    <t>Vigan Banco Rural, Incorporada (VBRI)</t>
  </si>
  <si>
    <t>CIS Bayad Center, Inc.</t>
  </si>
  <si>
    <t>Easypay Global EMI Corporation</t>
  </si>
  <si>
    <t>Ecashpay Asia, Inc.</t>
  </si>
  <si>
    <t>Gpay Network PH, Inc. (GrabPay)</t>
  </si>
  <si>
    <t>Infoserve, Inc.</t>
  </si>
  <si>
    <t>I-Remit, Inc.</t>
  </si>
  <si>
    <t>MarcoPay, Inc.</t>
  </si>
  <si>
    <t>OmniPay, Inc.</t>
  </si>
  <si>
    <t>PayMongo Payments, Inc.</t>
  </si>
  <si>
    <t>Paynamics Technologies, Inc.</t>
  </si>
  <si>
    <t>Peppermint Bizmoto Inc.</t>
  </si>
  <si>
    <t>ShopeePay Philippines, Inc.</t>
  </si>
  <si>
    <t>SpeedyPay, Inc.</t>
  </si>
  <si>
    <t>StarPay Corporation</t>
  </si>
  <si>
    <t>TayoCash, Inc</t>
  </si>
  <si>
    <t>Toktokwallet Inc.</t>
  </si>
  <si>
    <t>TopJuan Tech Corporation</t>
  </si>
  <si>
    <t>Traxion Pay, Inc.</t>
  </si>
  <si>
    <t>Zybi Tech, Inc.</t>
  </si>
  <si>
    <t>Alipay Philippines, Inc.</t>
  </si>
  <si>
    <t>InstaPay QR P2P</t>
  </si>
  <si>
    <t>Source: Bancnet</t>
  </si>
  <si>
    <t>Not yet live</t>
  </si>
  <si>
    <t>CTBC Bank Corporation</t>
  </si>
  <si>
    <t>BPI Direct BanKo, Inc., A Savings Bank</t>
  </si>
  <si>
    <t>City Savings Bank</t>
  </si>
  <si>
    <t>MariBank Philippines Inc. (A Rural Bank)</t>
  </si>
  <si>
    <t>I-Remit, Incorporated</t>
  </si>
  <si>
    <t>Peppermint Bizmoto, Inc.</t>
  </si>
  <si>
    <t>QR Ph P2M</t>
  </si>
  <si>
    <t>QR Ph P2M Participants</t>
  </si>
  <si>
    <t>Go Tyme Bank Corporation</t>
  </si>
  <si>
    <t>DCPay Philippines, Inc.</t>
  </si>
  <si>
    <t>PPS-PEPP Financial Services Corporation (PalawanPay)</t>
  </si>
  <si>
    <t>Starpay Corporation</t>
  </si>
  <si>
    <t>Bills Pay Ph QR</t>
  </si>
  <si>
    <t>Queen City Development Bank, Inc.</t>
  </si>
  <si>
    <t>City Government of Muntinlupa</t>
  </si>
  <si>
    <t>Metropolitan Manila Development Authority</t>
  </si>
  <si>
    <t>University of the Philippines Open University</t>
  </si>
  <si>
    <t>Philippine Normal University</t>
  </si>
  <si>
    <t>Central Mindanao University</t>
  </si>
  <si>
    <t>City Government of Cagayan De Oro</t>
  </si>
  <si>
    <t>Issuer</t>
  </si>
  <si>
    <t>Acquirer</t>
  </si>
  <si>
    <t>Rizal Commercial Banking Corporation (RCBC)</t>
  </si>
  <si>
    <t>Robinsons Bank Corporation</t>
  </si>
  <si>
    <t>City Government of Bacoor</t>
  </si>
  <si>
    <t>National Privacy Commission</t>
  </si>
  <si>
    <t>Pililla Water District</t>
  </si>
  <si>
    <t>Procurement Service - PHILGEPS</t>
  </si>
  <si>
    <t>Intellectual Property Office</t>
  </si>
  <si>
    <t>EGov Pay</t>
  </si>
  <si>
    <t>Institution</t>
  </si>
  <si>
    <t>as of</t>
  </si>
  <si>
    <t>Category</t>
  </si>
  <si>
    <t>Institution Type</t>
  </si>
  <si>
    <t>InstaPay Participants</t>
  </si>
  <si>
    <t>PESONet Participants</t>
  </si>
  <si>
    <t>InstaPay QR Participants</t>
  </si>
  <si>
    <t>Bills Pay QR Participants</t>
  </si>
  <si>
    <t>EGov Pay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</si>
</sst>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ontserrat Light"/>
    </font>
    <font>
      <b/>
      <sz val="15"/>
      <name val="Montserrat Light"/>
    </font>
    <font>
      <sz val="11"/>
      <color theme="1"/>
      <name val="Calibri"/>
      <family val="2"/>
      <scheme val="minor"/>
    </font>
    <font>
      <sz val="10"/>
      <color rgb="FF000000"/>
      <name val="Montserrat Light"/>
    </font>
    <font>
      <sz val="11"/>
      <color rgb="FF000000"/>
      <name val="Montserrat Light"/>
    </font>
    <font>
      <sz val="11"/>
      <color theme="1"/>
      <name val="Montserrat Light"/>
    </font>
    <font>
      <b/>
      <sz val="11"/>
      <color rgb="FFFFFFFF"/>
      <name val="Montserrat Light"/>
    </font>
    <font>
      <b/>
      <sz val="11"/>
      <color theme="0"/>
      <name val="Montserrat Light"/>
    </font>
    <font>
      <b/>
      <sz val="11"/>
      <color theme="1"/>
      <name val="Montserrat Light"/>
    </font>
    <font>
      <b/>
      <sz val="11"/>
      <color rgb="FF000000"/>
      <name val="Montserrat Light"/>
    </font>
    <font>
      <sz val="11"/>
      <color rgb="FFFFFFFF"/>
      <name val="Montserrat Light"/>
    </font>
    <font>
      <b/>
      <sz val="14"/>
      <name val="Montserrat Light"/>
    </font>
    <font>
      <sz val="11"/>
      <name val="Montserrat Light"/>
    </font>
    <font>
      <b/>
      <sz val="11"/>
      <name val="Montserrat Light"/>
    </font>
    <font>
      <sz val="11"/>
      <color theme="0"/>
      <name val="Montserrat Light"/>
    </font>
    <font>
      <sz val="11"/>
      <color theme="1"/>
      <name val="Segoe UI"/>
      <family val="2"/>
    </font>
    <font>
      <sz val="12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215967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2" fillId="2" borderId="0" xfId="1" applyFont="1" applyFill="1"/>
    <xf numFmtId="0" fontId="3" fillId="2" borderId="0" xfId="1" applyFont="1" applyFill="1" applyAlignment="1">
      <alignment horizontal="left"/>
    </xf>
    <xf numFmtId="0" fontId="6" fillId="0" borderId="0" xfId="0" applyFont="1"/>
    <xf numFmtId="0" fontId="7" fillId="0" borderId="0" xfId="3" applyFont="1"/>
    <xf numFmtId="0" fontId="6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0" xfId="0" applyFont="1" applyAlignment="1">
      <alignment horizontal="center" vertical="center"/>
    </xf>
    <xf numFmtId="0" fontId="11" fillId="4" borderId="2" xfId="0" applyFont="1" applyFill="1" applyBorder="1"/>
    <xf numFmtId="0" fontId="11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3" borderId="2" xfId="0" applyFont="1" applyFill="1" applyBorder="1"/>
    <xf numFmtId="0" fontId="8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/>
    <xf numFmtId="0" fontId="2" fillId="5" borderId="0" xfId="0" applyFont="1" applyFill="1"/>
    <xf numFmtId="0" fontId="2" fillId="5" borderId="0" xfId="1" applyFont="1" applyFill="1"/>
    <xf numFmtId="0" fontId="13" fillId="5" borderId="0" xfId="1" applyFont="1" applyFill="1" applyAlignment="1">
      <alignment horizontal="left"/>
    </xf>
    <xf numFmtId="0" fontId="7" fillId="0" borderId="0" xfId="0" applyFont="1"/>
    <xf numFmtId="0" fontId="6" fillId="3" borderId="6" xfId="0" applyFont="1" applyFill="1" applyBorder="1"/>
    <xf numFmtId="0" fontId="8" fillId="3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11" fillId="0" borderId="2" xfId="0" applyFont="1" applyBorder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7" fillId="0" borderId="2" xfId="0" applyFont="1" applyBorder="1"/>
    <xf numFmtId="0" fontId="14" fillId="6" borderId="0" xfId="0" applyFont="1" applyFill="1"/>
    <xf numFmtId="0" fontId="14" fillId="6" borderId="0" xfId="1" applyFont="1" applyFill="1"/>
    <xf numFmtId="0" fontId="15" fillId="6" borderId="0" xfId="1" applyFont="1" applyFill="1" applyAlignment="1">
      <alignment horizontal="left"/>
    </xf>
    <xf numFmtId="0" fontId="7" fillId="7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10" fillId="0" borderId="2" xfId="0" applyFont="1" applyBorder="1"/>
    <xf numFmtId="0" fontId="10" fillId="4" borderId="2" xfId="0" applyFont="1" applyFill="1" applyBorder="1" applyAlignment="1">
      <alignment horizontal="center"/>
    </xf>
    <xf numFmtId="0" fontId="7" fillId="0" borderId="2" xfId="2" applyFont="1" applyBorder="1"/>
    <xf numFmtId="0" fontId="10" fillId="4" borderId="2" xfId="0" applyFont="1" applyFill="1" applyBorder="1"/>
    <xf numFmtId="0" fontId="7" fillId="7" borderId="2" xfId="0" applyFont="1" applyFill="1" applyBorder="1"/>
    <xf numFmtId="0" fontId="7" fillId="0" borderId="2" xfId="0" applyFont="1" applyBorder="1" applyAlignment="1">
      <alignment wrapText="1"/>
    </xf>
    <xf numFmtId="0" fontId="16" fillId="7" borderId="2" xfId="0" applyFont="1" applyFill="1" applyBorder="1"/>
    <xf numFmtId="0" fontId="14" fillId="8" borderId="0" xfId="0" applyFont="1" applyFill="1"/>
    <xf numFmtId="0" fontId="14" fillId="8" borderId="0" xfId="1" applyFont="1" applyFill="1"/>
    <xf numFmtId="0" fontId="13" fillId="8" borderId="0" xfId="1" applyFont="1" applyFill="1" applyAlignment="1">
      <alignment horizontal="left"/>
    </xf>
    <xf numFmtId="0" fontId="7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4" fillId="9" borderId="0" xfId="0" applyFont="1" applyFill="1"/>
    <xf numFmtId="0" fontId="14" fillId="9" borderId="0" xfId="1" applyFont="1" applyFill="1"/>
    <xf numFmtId="0" fontId="13" fillId="9" borderId="0" xfId="1" applyFont="1" applyFill="1" applyAlignment="1">
      <alignment horizontal="left"/>
    </xf>
    <xf numFmtId="49" fontId="7" fillId="0" borderId="0" xfId="0" applyNumberFormat="1" applyFont="1"/>
    <xf numFmtId="0" fontId="6" fillId="0" borderId="0" xfId="0" applyFont="1" applyAlignment="1">
      <alignment horizontal="right" vertical="center" wrapText="1"/>
    </xf>
    <xf numFmtId="0" fontId="6" fillId="0" borderId="8" xfId="0" applyFont="1" applyBorder="1"/>
    <xf numFmtId="3" fontId="6" fillId="0" borderId="8" xfId="6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7" fillId="0" borderId="0" xfId="0" applyNumberFormat="1" applyFont="1"/>
    <xf numFmtId="3" fontId="10" fillId="0" borderId="0" xfId="0" applyNumberFormat="1" applyFont="1"/>
    <xf numFmtId="43" fontId="10" fillId="0" borderId="0" xfId="6" applyFont="1"/>
    <xf numFmtId="3" fontId="7" fillId="0" borderId="0" xfId="0" applyNumberFormat="1" applyFont="1"/>
    <xf numFmtId="0" fontId="10" fillId="0" borderId="0" xfId="0" applyFont="1" applyFill="1" applyBorder="1" applyAlignment="1">
      <alignment horizontal="center" vertical="center"/>
    </xf>
    <xf numFmtId="0" fontId="6" fillId="0" borderId="0" xfId="4" applyFont="1" applyFill="1" applyBorder="1"/>
    <xf numFmtId="15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5" xfId="0" applyFont="1" applyBorder="1"/>
    <xf numFmtId="0" fontId="6" fillId="0" borderId="1" xfId="0" applyFont="1" applyBorder="1"/>
    <xf numFmtId="15" fontId="5" fillId="2" borderId="0" xfId="2" applyNumberFormat="1" applyFont="1" applyFill="1" applyAlignment="1">
      <alignment horizontal="left"/>
    </xf>
    <xf numFmtId="0" fontId="8" fillId="3" borderId="3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0" fillId="2" borderId="0" xfId="0" applyFill="1"/>
    <xf numFmtId="15" fontId="0" fillId="2" borderId="0" xfId="0" applyNumberFormat="1" applyFill="1"/>
    <xf numFmtId="0" fontId="0" fillId="10" borderId="0" xfId="0" applyFill="1"/>
  </cellXfs>
  <cellStyles count="7">
    <cellStyle name="Comma 2 7" xfId="5" xr:uid="{B70C3F34-6080-43C4-AC3A-0101AE6778BF}"/>
    <cellStyle name="Comma 3 3" xfId="6" xr:uid="{F59E654A-9F2E-463D-B696-196CE4D80BF8}"/>
    <cellStyle name="Normal" xfId="0" builtinId="0"/>
    <cellStyle name="Normal 2 10" xfId="2" xr:uid="{2D446E87-25DE-4968-844E-3D79805CA6DB}"/>
    <cellStyle name="Normal 2 2 2" xfId="1" xr:uid="{EF5BF06F-71CF-4C14-ACE1-8BB6DAD5EE98}"/>
    <cellStyle name="Normal 20 4" xfId="3" xr:uid="{A01A6F5F-DA09-4113-AAF2-20EAB3DA99B0}"/>
    <cellStyle name="Normal 33" xfId="4" xr:uid="{966D4227-67F0-4645-97AD-98FC5A326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spgovph.sharepoint.com/sites/ORGPPDD-PDMAG2/Shared%20Documents/PDMAG/Master%20File/2025/2025%2012_Dec/2025%2012_Dec%20Main%20Masterfile.xlsx" TargetMode="External"/><Relationship Id="rId1" Type="http://schemas.openxmlformats.org/officeDocument/2006/relationships/externalLinkPath" Target="https://bspgovph.sharepoint.com/sites/ORGPPDD-PDMAG2/Shared%20Documents/PDMAG/Master%20File/2025/2025%2012_Dec/2025%2012_Dec%20Main%20Master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SONet"/>
      <sheetName val="PESONet Top BSFIs"/>
      <sheetName val="PESONet Participants"/>
      <sheetName val="Checks"/>
      <sheetName val="Checks Top BSFIs"/>
      <sheetName val="Checks Participants"/>
      <sheetName val="InstaPay"/>
      <sheetName val="InstaPay Top BSFIs"/>
      <sheetName val="InstaPay Participants"/>
      <sheetName val="ATM Withdrawals"/>
      <sheetName val="ATM Top BSFIs"/>
      <sheetName val="ATM Participants"/>
      <sheetName val="Validation"/>
      <sheetName val="Combined PesoNet and InstaPay"/>
      <sheetName val="PESONet_SSS Transactions"/>
      <sheetName val="InstaPay QR"/>
      <sheetName val="InstaPay QR Top BSFIs"/>
      <sheetName val="InstaPay QR Participants"/>
      <sheetName val="QR Ph P2M"/>
      <sheetName val="QR Ph P2M Top BSFIs"/>
      <sheetName val="QR Ph P2M Participants"/>
      <sheetName val="Combined InstaPay QR &amp; QRPh P2M"/>
      <sheetName val="PESONet vs Checks"/>
      <sheetName val="InstaPay vs ATM Withdrawal"/>
      <sheetName val="PN Post ECQ"/>
      <sheetName val="InstaPay Post ECQ"/>
      <sheetName val="Checks Post ECQ"/>
      <sheetName val="Combined Post ECQ"/>
      <sheetName val="ATM Post ECQ"/>
      <sheetName val="Top NB EMIs"/>
      <sheetName val="Bills Pay Ph"/>
      <sheetName val="Bills Pay Ph QR"/>
      <sheetName val="Bills Pay QR Top BSFIs"/>
      <sheetName val="Bills Pay QR Participants"/>
      <sheetName val="Bills Pay Ph non-QR"/>
      <sheetName val="Bills Pay Non-QR Top BSFIs"/>
      <sheetName val="Bills Pay Non-QR Participants"/>
      <sheetName val="Billers Master List"/>
      <sheetName val="EGov Pay"/>
      <sheetName val="Monthly Govt Security Trades"/>
      <sheetName val="EGov Pay Biller"/>
      <sheetName val="PhilPass OT"/>
      <sheetName val="PhilPass IB"/>
      <sheetName val="PhilPass OMO"/>
      <sheetName val="PhilPass GS"/>
      <sheetName val="PCHC_PDDTS_RTGS"/>
      <sheetName val="PCHC_PDDTS_RTGS_Dom"/>
      <sheetName val="PCHC_PDDTS_RTGS_CB"/>
      <sheetName val="PCHC_PDDTS_EOD"/>
      <sheetName val="PCHC_PDDTS_PvP"/>
      <sheetName val="Overall"/>
      <sheetName val="Conso MTH VolVal"/>
      <sheetName val="Monthly IBFT FX Trades"/>
    </sheetNames>
    <sheetDataSet>
      <sheetData sheetId="0">
        <row r="9">
          <cell r="B9">
            <v>46022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B3" t="str">
            <v>31 December 2025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31 December 2025</v>
          </cell>
        </row>
      </sheetData>
      <sheetData sheetId="16"/>
      <sheetData sheetId="17"/>
      <sheetData sheetId="18">
        <row r="3">
          <cell r="B3" t="str">
            <v>31 December 2025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">
          <cell r="B3" t="str">
            <v>31 December 2025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yssa Mariel T. Mores" id="{AD280AF3-7A07-4268-8D99-DC3D9091AAA6}" userId="S::MoresET@bsp.gov.ph::2867efdb-94c9-4f26-926d-36ea3ddf3605" providerId="AD"/>
  <person displayName="Kenneth Thadeus P. Yñigo" id="{5EB3D752-35FA-4473-B36E-8B6C203C0137}" userId="S::YnigoKP@bsp.gov.ph::558d4214-3ee6-4171-9757-3e0226239a61" providerId="AD"/>
  <person displayName="Kevynn P. Delgado" id="{315D1248-1F7A-47BE-B646-38ACA3FF6970}" userId="S::delgadokp@bsp.gov.ph::df7c9a1f-b955-4adc-9b40-c62bf3b3efde" providerId="AD"/>
</personList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5-08-19T01:25:02.91" personId="{5EB3D752-35FA-4473-B36E-8B6C203C0137}" id="{690559DF-2184-4308-B4AB-82BA03D3F6EB}" done="1">
    <text>Suggest to sort alphabetically, particularly on those BSIs with the same starting letter (e.g. Bank of China, Bank of Commerce, Bank of the Philippine Islands</text>
  </threadedComment>
  <threadedComment ref="B7" dT="2026-01-19T05:50:00.87" personId="{5EB3D752-35FA-4473-B36E-8B6C203C0137}" id="{01C0B607-DDA1-4C5A-96AC-F4C78334D752}" parentId="{690559DF-2184-4308-B4AB-82BA03D3F6EB}">
    <text>Same comment, for checking please, thanks!</text>
  </threadedComment>
  <threadedComment ref="B7" dT="2026-01-19T07:06:12.44" personId="{AD280AF3-7A07-4268-8D99-DC3D9091AAA6}" id="{B2BF6F9F-CF39-4069-A35F-23F397C30DFE}" parentId="{690559DF-2184-4308-B4AB-82BA03D3F6EB}">
    <text>Okay!</text>
  </threadedComment>
  <threadedComment ref="L9" dT="2026-01-19T06:18:16.45" personId="{5EB3D752-35FA-4473-B36E-8B6C203C0137}" id="{89A6C3B0-5388-4B35-9824-211742B60A9A}">
    <text>For checking please, as per previous data, BSI is not yet live</text>
  </threadedComment>
  <threadedComment ref="L9" dT="2026-01-19T07:05:16.75" personId="{AD280AF3-7A07-4268-8D99-DC3D9091AAA6}" id="{3CEE8D4C-8DF7-4775-B896-41D958A38777}" parentId="{89A6C3B0-5388-4B35-9824-211742B60A9A}">
    <text>Hi Ken! TFSPH went live as Receiver Only since 17 November 2025 (accdg to the Use Cases report). However, we mistakenly input it as Sender/Receiver last month hence, for December we placed it under the correct table.</text>
  </threadedComment>
  <threadedComment ref="B29" dT="2025-08-19T01:28:00.40" personId="{5EB3D752-35FA-4473-B36E-8B6C203C0137}" id="{EDAE225F-3FA2-48C3-A11D-E96E50C96414}" done="1">
    <text xml:space="preserve">Suggest to confirm the official name of the BSI, per checking the official name is The Hongkong and Shanghai Banking Corporation Limited </text>
    <extLst>
      <x:ext xmlns:xltc2="http://schemas.microsoft.com/office/spreadsheetml/2020/threadedcomments2" uri="{F7C98A9C-CBB3-438F-8F68-D28B6AF4A901}">
        <xltc2:checksum>4097001009</xltc2:checksum>
        <xltc2:hyperlink startIndex="83" length="53" url="https://www.google.com/search?safe=active&amp;sca_esv=a635e86d0750cab2&amp;rlz=1C1GCEU_enPH1121PH1121&amp;sxsrf=AE3TifNIg7ravLPP1C_0SqY5sCwMwPvazQ%3A1755566791172&amp;q=The+Hongkong+and+Shanghai+Banking+Corporation+Limited&amp;sa=X&amp;ved=2ahUKEwjKqN7325WPAxVoIUQIHea2OrkQxccNegQIDRAB&amp;mstk=AUtExfAz-AlRSxNJGa8jytU6Ygf_kaW-wI-d3Yp_yyuDMCanKBiNM0Pm9D2kUugdclzS135Ts3Tu0JklaB6lbIHcwR2F95JzAvSVKzP3wClCHvXb57qELIs7bjKEfUjxLhj0xpGJJkHdXbPrLqvlYh-k-js8Jk-AWPK1gfmWNinPvHjzBy_cp058fuymYmnelyoK3PrAKgkUs4Z5Gw5Lkxz9-KPdjy5Mo0UKgzTAEd0Sam4HQJ7A7jzzW_Gm0HBVItl7wCw-uTE-mlywrnvRoTFsS1BU&amp;csui=3"/>
      </x:ext>
    </extLst>
  </threadedComment>
  <threadedComment ref="B29" dT="2026-01-19T05:50:25.08" personId="{5EB3D752-35FA-4473-B36E-8B6C203C0137}" id="{4296078F-485A-4A53-A691-418492E67B73}" parentId="{EDAE225F-3FA2-48C3-A11D-E96E50C96414}">
    <text>Same comment, for checking please, thanks!</text>
  </threadedComment>
  <threadedComment ref="B29" dT="2026-01-19T07:05:30.66" personId="{AD280AF3-7A07-4268-8D99-DC3D9091AAA6}" id="{94B28CFB-946D-4D8A-991F-3A3F16202C16}" parentId="{EDAE225F-3FA2-48C3-A11D-E96E50C96414}">
    <text>Noted!</text>
  </threadedComment>
  <threadedComment ref="B33" dT="2025-08-19T01:36:20.86" personId="{5EB3D752-35FA-4473-B36E-8B6C203C0137}" id="{FBFECF5F-B9E4-486C-850E-0B3A11F54BAA}" done="1">
    <text xml:space="preserve">Suggest to sort alphabetically
</text>
  </threadedComment>
  <threadedComment ref="B33" dT="2026-01-19T05:54:37.17" personId="{5EB3D752-35FA-4473-B36E-8B6C203C0137}" id="{CBDE3F63-4AF3-49C9-8513-885E8992136E}" parentId="{FBFECF5F-B9E4-486C-850E-0B3A11F54BAA}">
    <text>Same comment</text>
  </threadedComment>
  <threadedComment ref="B33" dT="2026-01-19T07:05:48.85" personId="{AD280AF3-7A07-4268-8D99-DC3D9091AAA6}" id="{A7439072-976C-4D3B-ADC2-FEA4F206E534}" parentId="{FBFECF5F-B9E4-486C-850E-0B3A11F54BAA}">
    <text>Okay!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5-07-28T01:39:11.45" personId="{5EB3D752-35FA-4473-B36E-8B6C203C0137}" id="{0E92AEA5-A756-42D6-AA10-02F1150A303F}" done="1">
    <text>Sort Alphabetically (BPI)</text>
  </threadedComment>
  <threadedComment ref="B7" dT="2026-01-19T07:10:12.57" personId="{AD280AF3-7A07-4268-8D99-DC3D9091AAA6}" id="{9C9698BF-974E-4C8E-8A5A-4CB578B9B4CC}" parentId="{0E92AEA5-A756-42D6-AA10-02F1150A303F}">
    <text>Okay!</text>
  </threadedComment>
  <threadedComment ref="B29" dT="2025-07-28T01:49:09.26" personId="{5EB3D752-35FA-4473-B36E-8B6C203C0137}" id="{28340817-CD1A-457F-951C-3E5F165EA26E}" done="1">
    <text>Sort Alphabetically (Queen City)</text>
  </threadedComment>
  <threadedComment ref="B53" dT="2025-07-28T01:53:32.90" personId="{5EB3D752-35FA-4473-B36E-8B6C203C0137}" id="{6E466256-57ED-4924-A240-340F06C36AF4}" done="1">
    <text>Suggest to add the inclusion of CARD MRI to new updates</text>
  </threadedComment>
  <threadedComment ref="B53" dT="2025-07-28T01:59:03.25" personId="{5EB3D752-35FA-4473-B36E-8B6C203C0137}" id="{A66D50FB-61FD-49C9-8616-548C7F5A2E15}" parentId="{6E466256-57ED-4924-A240-340F06C36AF4}">
    <text>Also suggest to change the official name to CARD MRI Rizal Bank, Inc.</text>
  </threadedComment>
  <threadedComment ref="B66" dT="2025-07-28T02:00:22.43" personId="{5EB3D752-35FA-4473-B36E-8B6C203C0137}" id="{D0BBFC91-4D55-4EC5-B28D-3CFFB6703F8D}" done="1">
    <text>Suggest to add the inclusion ofTonik Digital Bank, Inc. to new updates</text>
  </threadedComment>
  <threadedComment ref="B71" dT="2025-07-28T02:06:09.82" personId="{5EB3D752-35FA-4473-B36E-8B6C203C0137}" id="{5A3AAD70-EB80-40A1-A0BA-A3A0FACB37E6}" done="1">
    <text>Suggest to add the exclusion of Banana Fintech to new updates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57" dT="2025-07-28T02:13:40.05" personId="{5EB3D752-35FA-4473-B36E-8B6C203C0137}" id="{4C91C348-4661-46A0-B56C-86856117849B}" done="1">
    <text>Suggest to add the inclusion of Tonik Digital Bank, Inc. to new updates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5-07-28T02:34:13.14" personId="{5EB3D752-35FA-4473-B36E-8B6C203C0137}" id="{EFB6DB5C-D304-46C7-82B0-86286A726B4F}" done="1">
    <text>Suggest to make the numbering continuous for all banks</text>
  </threadedComment>
  <threadedComment ref="B7" dT="2025-08-19T02:09:43.33" personId="{5EB3D752-35FA-4473-B36E-8B6C203C0137}" id="{697C6A73-D4E6-4894-B5C3-22E2A3D0E211}" parentId="{EFB6DB5C-D304-46C7-82B0-86286A726B4F}">
    <text>Same comment for this month, thanks</text>
  </threadedComment>
  <threadedComment ref="B42" dT="2025-07-28T02:36:52.32" personId="{5EB3D752-35FA-4473-B36E-8B6C203C0137}" id="{011C120F-DD23-4817-86FD-CCFADC65085A}" done="1">
    <text>Suggest to rearrange the ordering (Digital Banks then EMI)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5-07-28T02:34:13.14" personId="{5EB3D752-35FA-4473-B36E-8B6C203C0137}" id="{7A1D55FD-C3AE-44E3-A6F3-759610DFC7A1}" done="1">
    <text>Suggest to make the numbering continuous for all banks</text>
  </threadedComment>
  <threadedComment ref="B7" dT="2025-08-19T02:09:43.33" personId="{5EB3D752-35FA-4473-B36E-8B6C203C0137}" id="{0F9D94B9-72F5-4418-BDCB-B7C0E4D0DB82}" parentId="{7A1D55FD-C3AE-44E3-A6F3-759610DFC7A1}">
    <text>Same comment for this month, thanks</text>
  </threadedComment>
  <threadedComment ref="L18" dT="2025-07-30T03:01:41.25" personId="{5EB3D752-35FA-4473-B36E-8B6C203C0137}" id="{067D2E84-15C2-42EC-AE81-39F1BDB82AEE}" done="1">
    <text>Clarification, if this should be Bacoor, Cavite or Bacoor only</text>
  </threadedComment>
  <threadedComment ref="L18" dT="2025-08-11T02:22:12.41" personId="{315D1248-1F7A-47BE-B646-38ACA3FF6970}" id="{7A3CDA3C-9B67-45C7-9E4E-E3FC3A2FCB6D}" parentId="{067D2E84-15C2-42EC-AE81-39F1BDB82AEE}">
    <text>We place here as reported. No intermediary processing done.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A117-1459-45C7-A7C4-9D284F360CBE}">
  <sheetPr codeName="Sheet1">
    <tabColor theme="6"/>
  </sheetPr>
  <dimension ref="A1:C95"/>
  <sheetViews>
    <sheetView tabSelected="1" workbookViewId="0">
      <selection activeCell="G19" sqref="G19"/>
    </sheetView>
  </sheetViews>
  <sheetFormatPr defaultRowHeight="15.75" x14ac:dyDescent="0.25"/>
  <cols>
    <col min="1" max="1" width="49.875" customWidth="1"/>
    <col min="2" max="2" width="38.375" customWidth="1"/>
    <col min="3" max="3" width="17.25" customWidth="1"/>
  </cols>
  <sheetData>
    <row r="1" spans="1:3" s="83" customFormat="1" x14ac:dyDescent="0.25">
      <c r="A1" s="83" t="s">
        <v>223</v>
      </c>
      <c r="B1" s="83" t="s">
        <v>220</v>
      </c>
      <c r="C1" s="84">
        <v>46022</v>
      </c>
    </row>
    <row r="2" spans="1:3" s="85" customFormat="1" x14ac:dyDescent="0.25">
      <c r="A2" s="85" t="s">
        <v>219</v>
      </c>
      <c r="B2" s="85" t="s">
        <v>222</v>
      </c>
      <c r="C2" s="85" t="s">
        <v>221</v>
      </c>
    </row>
    <row r="3" spans="1:3" x14ac:dyDescent="0.25">
      <c r="A3" t="s">
        <v>10</v>
      </c>
      <c r="B3" t="s">
        <v>2</v>
      </c>
      <c r="C3" t="s">
        <v>149</v>
      </c>
    </row>
    <row r="4" spans="1:3" x14ac:dyDescent="0.25">
      <c r="A4" t="s">
        <v>20</v>
      </c>
      <c r="B4" t="s">
        <v>2</v>
      </c>
      <c r="C4" t="s">
        <v>149</v>
      </c>
    </row>
    <row r="5" spans="1:3" x14ac:dyDescent="0.25">
      <c r="A5" t="s">
        <v>18</v>
      </c>
      <c r="B5" t="s">
        <v>2</v>
      </c>
      <c r="C5" t="s">
        <v>149</v>
      </c>
    </row>
    <row r="6" spans="1:3" x14ac:dyDescent="0.25">
      <c r="A6" t="s">
        <v>21</v>
      </c>
      <c r="B6" t="s">
        <v>2</v>
      </c>
      <c r="C6" t="s">
        <v>149</v>
      </c>
    </row>
    <row r="7" spans="1:3" x14ac:dyDescent="0.25">
      <c r="A7" t="s">
        <v>22</v>
      </c>
      <c r="B7" t="s">
        <v>2</v>
      </c>
      <c r="C7" t="s">
        <v>149</v>
      </c>
    </row>
    <row r="8" spans="1:3" x14ac:dyDescent="0.25">
      <c r="A8" t="s">
        <v>24</v>
      </c>
      <c r="B8" t="s">
        <v>2</v>
      </c>
      <c r="C8" t="s">
        <v>149</v>
      </c>
    </row>
    <row r="9" spans="1:3" x14ac:dyDescent="0.25">
      <c r="A9" t="s">
        <v>25</v>
      </c>
      <c r="B9" t="s">
        <v>2</v>
      </c>
      <c r="C9" t="s">
        <v>149</v>
      </c>
    </row>
    <row r="10" spans="1:3" x14ac:dyDescent="0.25">
      <c r="A10" t="s">
        <v>27</v>
      </c>
      <c r="B10" t="s">
        <v>2</v>
      </c>
      <c r="C10" t="s">
        <v>149</v>
      </c>
    </row>
    <row r="11" spans="1:3" x14ac:dyDescent="0.25">
      <c r="A11" t="s">
        <v>29</v>
      </c>
      <c r="B11" t="s">
        <v>2</v>
      </c>
      <c r="C11" t="s">
        <v>149</v>
      </c>
    </row>
    <row r="12" spans="1:3" x14ac:dyDescent="0.25">
      <c r="A12" t="s">
        <v>30</v>
      </c>
      <c r="B12" t="s">
        <v>2</v>
      </c>
      <c r="C12" t="s">
        <v>149</v>
      </c>
    </row>
    <row r="13" spans="1:3" x14ac:dyDescent="0.25">
      <c r="A13" t="s">
        <v>35</v>
      </c>
      <c r="B13" t="s">
        <v>2</v>
      </c>
      <c r="C13" t="s">
        <v>149</v>
      </c>
    </row>
    <row r="14" spans="1:3" x14ac:dyDescent="0.25">
      <c r="A14" t="s">
        <v>36</v>
      </c>
      <c r="B14" t="s">
        <v>2</v>
      </c>
      <c r="C14" t="s">
        <v>149</v>
      </c>
    </row>
    <row r="15" spans="1:3" x14ac:dyDescent="0.25">
      <c r="A15" t="s">
        <v>38</v>
      </c>
      <c r="B15" t="s">
        <v>2</v>
      </c>
      <c r="C15" t="s">
        <v>149</v>
      </c>
    </row>
    <row r="16" spans="1:3" x14ac:dyDescent="0.25">
      <c r="A16" t="s">
        <v>41</v>
      </c>
      <c r="B16" t="s">
        <v>2</v>
      </c>
      <c r="C16" t="s">
        <v>149</v>
      </c>
    </row>
    <row r="17" spans="1:3" x14ac:dyDescent="0.25">
      <c r="A17" t="s">
        <v>42</v>
      </c>
      <c r="B17" t="s">
        <v>2</v>
      </c>
      <c r="C17" t="s">
        <v>149</v>
      </c>
    </row>
    <row r="18" spans="1:3" x14ac:dyDescent="0.25">
      <c r="A18" t="s">
        <v>43</v>
      </c>
      <c r="B18" t="s">
        <v>2</v>
      </c>
      <c r="C18" t="s">
        <v>149</v>
      </c>
    </row>
    <row r="19" spans="1:3" x14ac:dyDescent="0.25">
      <c r="A19" t="s">
        <v>44</v>
      </c>
      <c r="B19" t="s">
        <v>2</v>
      </c>
      <c r="C19" t="s">
        <v>149</v>
      </c>
    </row>
    <row r="20" spans="1:3" x14ac:dyDescent="0.25">
      <c r="A20" t="s">
        <v>45</v>
      </c>
      <c r="B20" t="s">
        <v>2</v>
      </c>
      <c r="C20" t="s">
        <v>149</v>
      </c>
    </row>
    <row r="21" spans="1:3" x14ac:dyDescent="0.25">
      <c r="A21" t="s">
        <v>47</v>
      </c>
      <c r="B21" t="s">
        <v>2</v>
      </c>
      <c r="C21" t="s">
        <v>149</v>
      </c>
    </row>
    <row r="22" spans="1:3" x14ac:dyDescent="0.25">
      <c r="A22" t="s">
        <v>49</v>
      </c>
      <c r="B22" t="s">
        <v>2</v>
      </c>
      <c r="C22" t="s">
        <v>149</v>
      </c>
    </row>
    <row r="23" spans="1:3" x14ac:dyDescent="0.25">
      <c r="A23" t="s">
        <v>151</v>
      </c>
      <c r="B23" t="s">
        <v>2</v>
      </c>
      <c r="C23" t="s">
        <v>149</v>
      </c>
    </row>
    <row r="24" spans="1:3" x14ac:dyDescent="0.25">
      <c r="A24" t="s">
        <v>52</v>
      </c>
      <c r="B24" t="s">
        <v>2</v>
      </c>
      <c r="C24" t="s">
        <v>149</v>
      </c>
    </row>
    <row r="25" spans="1:3" x14ac:dyDescent="0.25">
      <c r="A25" t="s">
        <v>55</v>
      </c>
      <c r="B25" t="s">
        <v>54</v>
      </c>
      <c r="C25" t="s">
        <v>149</v>
      </c>
    </row>
    <row r="26" spans="1:3" x14ac:dyDescent="0.25">
      <c r="A26" t="s">
        <v>58</v>
      </c>
      <c r="B26" t="s">
        <v>54</v>
      </c>
      <c r="C26" t="s">
        <v>149</v>
      </c>
    </row>
    <row r="27" spans="1:3" x14ac:dyDescent="0.25">
      <c r="A27" t="s">
        <v>59</v>
      </c>
      <c r="B27" t="s">
        <v>54</v>
      </c>
      <c r="C27" t="s">
        <v>149</v>
      </c>
    </row>
    <row r="28" spans="1:3" x14ac:dyDescent="0.25">
      <c r="A28" t="s">
        <v>152</v>
      </c>
      <c r="B28" t="s">
        <v>54</v>
      </c>
      <c r="C28" t="s">
        <v>149</v>
      </c>
    </row>
    <row r="29" spans="1:3" x14ac:dyDescent="0.25">
      <c r="A29" t="s">
        <v>60</v>
      </c>
      <c r="B29" t="s">
        <v>54</v>
      </c>
      <c r="C29" t="s">
        <v>149</v>
      </c>
    </row>
    <row r="30" spans="1:3" x14ac:dyDescent="0.25">
      <c r="A30" t="s">
        <v>61</v>
      </c>
      <c r="B30" t="s">
        <v>54</v>
      </c>
      <c r="C30" t="s">
        <v>149</v>
      </c>
    </row>
    <row r="31" spans="1:3" x14ac:dyDescent="0.25">
      <c r="A31" t="s">
        <v>63</v>
      </c>
      <c r="B31" t="s">
        <v>54</v>
      </c>
      <c r="C31" t="s">
        <v>149</v>
      </c>
    </row>
    <row r="32" spans="1:3" x14ac:dyDescent="0.25">
      <c r="A32" t="s">
        <v>153</v>
      </c>
      <c r="B32" t="s">
        <v>54</v>
      </c>
      <c r="C32" t="s">
        <v>149</v>
      </c>
    </row>
    <row r="33" spans="1:3" x14ac:dyDescent="0.25">
      <c r="A33" t="s">
        <v>154</v>
      </c>
      <c r="B33" t="s">
        <v>54</v>
      </c>
      <c r="C33" t="s">
        <v>149</v>
      </c>
    </row>
    <row r="34" spans="1:3" x14ac:dyDescent="0.25">
      <c r="A34" t="s">
        <v>66</v>
      </c>
      <c r="B34" t="s">
        <v>54</v>
      </c>
      <c r="C34" t="s">
        <v>149</v>
      </c>
    </row>
    <row r="35" spans="1:3" x14ac:dyDescent="0.25">
      <c r="A35" t="s">
        <v>70</v>
      </c>
      <c r="B35" t="s">
        <v>54</v>
      </c>
      <c r="C35" t="s">
        <v>149</v>
      </c>
    </row>
    <row r="36" spans="1:3" x14ac:dyDescent="0.25">
      <c r="A36" t="s">
        <v>155</v>
      </c>
      <c r="B36" t="s">
        <v>54</v>
      </c>
      <c r="C36" t="s">
        <v>149</v>
      </c>
    </row>
    <row r="37" spans="1:3" x14ac:dyDescent="0.25">
      <c r="A37" t="s">
        <v>67</v>
      </c>
      <c r="B37" t="s">
        <v>54</v>
      </c>
      <c r="C37" t="s">
        <v>149</v>
      </c>
    </row>
    <row r="38" spans="1:3" x14ac:dyDescent="0.25">
      <c r="A38" t="s">
        <v>68</v>
      </c>
      <c r="B38" t="s">
        <v>54</v>
      </c>
      <c r="C38" t="s">
        <v>149</v>
      </c>
    </row>
    <row r="39" spans="1:3" x14ac:dyDescent="0.25">
      <c r="A39" t="s">
        <v>69</v>
      </c>
      <c r="B39" t="s">
        <v>54</v>
      </c>
      <c r="C39" t="s">
        <v>149</v>
      </c>
    </row>
    <row r="40" spans="1:3" x14ac:dyDescent="0.25">
      <c r="A40" t="s">
        <v>71</v>
      </c>
      <c r="B40" t="s">
        <v>54</v>
      </c>
      <c r="C40" t="s">
        <v>149</v>
      </c>
    </row>
    <row r="41" spans="1:3" x14ac:dyDescent="0.25">
      <c r="A41" t="s">
        <v>156</v>
      </c>
      <c r="B41" t="s">
        <v>54</v>
      </c>
      <c r="C41" t="s">
        <v>149</v>
      </c>
    </row>
    <row r="42" spans="1:3" x14ac:dyDescent="0.25">
      <c r="A42" t="s">
        <v>73</v>
      </c>
      <c r="B42" t="s">
        <v>54</v>
      </c>
      <c r="C42" t="s">
        <v>149</v>
      </c>
    </row>
    <row r="43" spans="1:3" x14ac:dyDescent="0.25">
      <c r="A43" t="s">
        <v>157</v>
      </c>
      <c r="B43" t="s">
        <v>54</v>
      </c>
      <c r="C43" t="s">
        <v>148</v>
      </c>
    </row>
    <row r="44" spans="1:3" x14ac:dyDescent="0.25">
      <c r="A44" t="s">
        <v>72</v>
      </c>
      <c r="B44" t="s">
        <v>54</v>
      </c>
      <c r="C44" t="s">
        <v>148</v>
      </c>
    </row>
    <row r="45" spans="1:3" x14ac:dyDescent="0.25">
      <c r="A45" t="s">
        <v>83</v>
      </c>
      <c r="B45" t="s">
        <v>76</v>
      </c>
      <c r="C45" t="s">
        <v>149</v>
      </c>
    </row>
    <row r="46" spans="1:3" x14ac:dyDescent="0.25">
      <c r="A46" t="s">
        <v>84</v>
      </c>
      <c r="B46" t="s">
        <v>76</v>
      </c>
      <c r="C46" t="s">
        <v>149</v>
      </c>
    </row>
    <row r="47" spans="1:3" x14ac:dyDescent="0.25">
      <c r="A47" t="s">
        <v>158</v>
      </c>
      <c r="B47" t="s">
        <v>76</v>
      </c>
      <c r="C47" t="s">
        <v>149</v>
      </c>
    </row>
    <row r="48" spans="1:3" x14ac:dyDescent="0.25">
      <c r="A48" t="s">
        <v>159</v>
      </c>
      <c r="B48" t="s">
        <v>76</v>
      </c>
      <c r="C48" t="s">
        <v>149</v>
      </c>
    </row>
    <row r="49" spans="1:3" x14ac:dyDescent="0.25">
      <c r="A49" t="s">
        <v>85</v>
      </c>
      <c r="B49" t="s">
        <v>76</v>
      </c>
      <c r="C49" t="s">
        <v>149</v>
      </c>
    </row>
    <row r="50" spans="1:3" x14ac:dyDescent="0.25">
      <c r="A50" t="s">
        <v>87</v>
      </c>
      <c r="B50" t="s">
        <v>76</v>
      </c>
      <c r="C50" t="s">
        <v>149</v>
      </c>
    </row>
    <row r="51" spans="1:3" x14ac:dyDescent="0.25">
      <c r="A51" t="s">
        <v>88</v>
      </c>
      <c r="B51" t="s">
        <v>76</v>
      </c>
      <c r="C51" t="s">
        <v>149</v>
      </c>
    </row>
    <row r="52" spans="1:3" x14ac:dyDescent="0.25">
      <c r="A52" t="s">
        <v>160</v>
      </c>
      <c r="B52" t="s">
        <v>76</v>
      </c>
      <c r="C52" t="s">
        <v>149</v>
      </c>
    </row>
    <row r="53" spans="1:3" x14ac:dyDescent="0.25">
      <c r="A53" t="s">
        <v>161</v>
      </c>
      <c r="B53" t="s">
        <v>76</v>
      </c>
      <c r="C53" t="s">
        <v>149</v>
      </c>
    </row>
    <row r="54" spans="1:3" x14ac:dyDescent="0.25">
      <c r="A54" t="s">
        <v>97</v>
      </c>
      <c r="B54" t="s">
        <v>76</v>
      </c>
      <c r="C54" t="s">
        <v>149</v>
      </c>
    </row>
    <row r="55" spans="1:3" x14ac:dyDescent="0.25">
      <c r="A55" t="s">
        <v>99</v>
      </c>
      <c r="B55" t="s">
        <v>76</v>
      </c>
      <c r="C55" t="s">
        <v>149</v>
      </c>
    </row>
    <row r="56" spans="1:3" x14ac:dyDescent="0.25">
      <c r="A56" t="s">
        <v>162</v>
      </c>
      <c r="B56" t="s">
        <v>76</v>
      </c>
      <c r="C56" t="s">
        <v>149</v>
      </c>
    </row>
    <row r="57" spans="1:3" x14ac:dyDescent="0.25">
      <c r="A57" t="s">
        <v>100</v>
      </c>
      <c r="B57" t="s">
        <v>76</v>
      </c>
      <c r="C57" t="s">
        <v>149</v>
      </c>
    </row>
    <row r="58" spans="1:3" x14ac:dyDescent="0.25">
      <c r="A58" t="s">
        <v>106</v>
      </c>
      <c r="B58" t="s">
        <v>76</v>
      </c>
      <c r="C58" t="s">
        <v>149</v>
      </c>
    </row>
    <row r="59" spans="1:3" x14ac:dyDescent="0.25">
      <c r="A59" t="s">
        <v>78</v>
      </c>
      <c r="B59" t="s">
        <v>76</v>
      </c>
      <c r="C59" t="s">
        <v>148</v>
      </c>
    </row>
    <row r="60" spans="1:3" x14ac:dyDescent="0.25">
      <c r="A60" t="s">
        <v>163</v>
      </c>
      <c r="B60" t="s">
        <v>76</v>
      </c>
      <c r="C60" t="s">
        <v>148</v>
      </c>
    </row>
    <row r="61" spans="1:3" x14ac:dyDescent="0.25">
      <c r="A61" t="s">
        <v>164</v>
      </c>
      <c r="B61" t="s">
        <v>76</v>
      </c>
      <c r="C61" t="s">
        <v>148</v>
      </c>
    </row>
    <row r="62" spans="1:3" x14ac:dyDescent="0.25">
      <c r="A62" t="s">
        <v>165</v>
      </c>
      <c r="B62" t="s">
        <v>76</v>
      </c>
      <c r="C62" t="s">
        <v>148</v>
      </c>
    </row>
    <row r="63" spans="1:3" x14ac:dyDescent="0.25">
      <c r="A63" t="s">
        <v>124</v>
      </c>
      <c r="B63" t="s">
        <v>123</v>
      </c>
      <c r="C63" t="s">
        <v>149</v>
      </c>
    </row>
    <row r="64" spans="1:3" x14ac:dyDescent="0.25">
      <c r="A64" t="s">
        <v>125</v>
      </c>
      <c r="B64" t="s">
        <v>123</v>
      </c>
      <c r="C64" t="s">
        <v>149</v>
      </c>
    </row>
    <row r="65" spans="1:3" x14ac:dyDescent="0.25">
      <c r="A65" t="s">
        <v>126</v>
      </c>
      <c r="B65" t="s">
        <v>123</v>
      </c>
      <c r="C65" t="s">
        <v>149</v>
      </c>
    </row>
    <row r="66" spans="1:3" x14ac:dyDescent="0.25">
      <c r="A66" t="s">
        <v>127</v>
      </c>
      <c r="B66" t="s">
        <v>123</v>
      </c>
      <c r="C66" t="s">
        <v>149</v>
      </c>
    </row>
    <row r="67" spans="1:3" x14ac:dyDescent="0.25">
      <c r="A67" t="s">
        <v>128</v>
      </c>
      <c r="B67" t="s">
        <v>123</v>
      </c>
      <c r="C67" t="s">
        <v>149</v>
      </c>
    </row>
    <row r="68" spans="1:3" x14ac:dyDescent="0.25">
      <c r="A68" t="s">
        <v>166</v>
      </c>
      <c r="B68" t="s">
        <v>129</v>
      </c>
      <c r="C68" t="s">
        <v>149</v>
      </c>
    </row>
    <row r="69" spans="1:3" x14ac:dyDescent="0.25">
      <c r="A69" t="s">
        <v>130</v>
      </c>
      <c r="B69" t="s">
        <v>129</v>
      </c>
      <c r="C69" t="s">
        <v>149</v>
      </c>
    </row>
    <row r="70" spans="1:3" x14ac:dyDescent="0.25">
      <c r="A70" t="s">
        <v>167</v>
      </c>
      <c r="B70" t="s">
        <v>129</v>
      </c>
      <c r="C70" t="s">
        <v>149</v>
      </c>
    </row>
    <row r="71" spans="1:3" x14ac:dyDescent="0.25">
      <c r="A71" t="s">
        <v>168</v>
      </c>
      <c r="B71" t="s">
        <v>129</v>
      </c>
      <c r="C71" t="s">
        <v>149</v>
      </c>
    </row>
    <row r="72" spans="1:3" x14ac:dyDescent="0.25">
      <c r="A72" t="s">
        <v>169</v>
      </c>
      <c r="B72" t="s">
        <v>129</v>
      </c>
      <c r="C72" t="s">
        <v>149</v>
      </c>
    </row>
    <row r="73" spans="1:3" x14ac:dyDescent="0.25">
      <c r="A73" t="s">
        <v>133</v>
      </c>
      <c r="B73" t="s">
        <v>129</v>
      </c>
      <c r="C73" t="s">
        <v>149</v>
      </c>
    </row>
    <row r="74" spans="1:3" x14ac:dyDescent="0.25">
      <c r="A74" t="s">
        <v>170</v>
      </c>
      <c r="B74" t="s">
        <v>129</v>
      </c>
      <c r="C74" t="s">
        <v>149</v>
      </c>
    </row>
    <row r="75" spans="1:3" x14ac:dyDescent="0.25">
      <c r="A75" t="s">
        <v>171</v>
      </c>
      <c r="B75" t="s">
        <v>129</v>
      </c>
      <c r="C75" t="s">
        <v>149</v>
      </c>
    </row>
    <row r="76" spans="1:3" x14ac:dyDescent="0.25">
      <c r="A76" t="s">
        <v>172</v>
      </c>
      <c r="B76" t="s">
        <v>129</v>
      </c>
      <c r="C76" t="s">
        <v>149</v>
      </c>
    </row>
    <row r="77" spans="1:3" x14ac:dyDescent="0.25">
      <c r="A77" t="s">
        <v>135</v>
      </c>
      <c r="B77" t="s">
        <v>129</v>
      </c>
      <c r="C77" t="s">
        <v>149</v>
      </c>
    </row>
    <row r="78" spans="1:3" x14ac:dyDescent="0.25">
      <c r="A78" t="s">
        <v>173</v>
      </c>
      <c r="B78" t="s">
        <v>129</v>
      </c>
      <c r="C78" t="s">
        <v>149</v>
      </c>
    </row>
    <row r="79" spans="1:3" x14ac:dyDescent="0.25">
      <c r="A79" t="s">
        <v>174</v>
      </c>
      <c r="B79" t="s">
        <v>129</v>
      </c>
      <c r="C79" t="s">
        <v>149</v>
      </c>
    </row>
    <row r="80" spans="1:3" x14ac:dyDescent="0.25">
      <c r="A80" t="s">
        <v>175</v>
      </c>
      <c r="B80" t="s">
        <v>129</v>
      </c>
      <c r="C80" t="s">
        <v>149</v>
      </c>
    </row>
    <row r="81" spans="1:3" x14ac:dyDescent="0.25">
      <c r="A81" t="s">
        <v>176</v>
      </c>
      <c r="B81" t="s">
        <v>129</v>
      </c>
      <c r="C81" t="s">
        <v>149</v>
      </c>
    </row>
    <row r="82" spans="1:3" x14ac:dyDescent="0.25">
      <c r="A82" t="s">
        <v>137</v>
      </c>
      <c r="B82" t="s">
        <v>129</v>
      </c>
      <c r="C82" t="s">
        <v>149</v>
      </c>
    </row>
    <row r="83" spans="1:3" x14ac:dyDescent="0.25">
      <c r="A83" t="s">
        <v>138</v>
      </c>
      <c r="B83" t="s">
        <v>129</v>
      </c>
      <c r="C83" t="s">
        <v>149</v>
      </c>
    </row>
    <row r="84" spans="1:3" x14ac:dyDescent="0.25">
      <c r="A84" t="s">
        <v>177</v>
      </c>
      <c r="B84" t="s">
        <v>129</v>
      </c>
      <c r="C84" t="s">
        <v>149</v>
      </c>
    </row>
    <row r="85" spans="1:3" x14ac:dyDescent="0.25">
      <c r="A85" t="s">
        <v>178</v>
      </c>
      <c r="B85" t="s">
        <v>129</v>
      </c>
      <c r="C85" t="s">
        <v>149</v>
      </c>
    </row>
    <row r="86" spans="1:3" x14ac:dyDescent="0.25">
      <c r="A86" t="s">
        <v>179</v>
      </c>
      <c r="B86" t="s">
        <v>129</v>
      </c>
      <c r="C86" t="s">
        <v>149</v>
      </c>
    </row>
    <row r="87" spans="1:3" x14ac:dyDescent="0.25">
      <c r="A87" t="s">
        <v>180</v>
      </c>
      <c r="B87" t="s">
        <v>129</v>
      </c>
      <c r="C87" t="s">
        <v>149</v>
      </c>
    </row>
    <row r="88" spans="1:3" x14ac:dyDescent="0.25">
      <c r="A88" t="s">
        <v>181</v>
      </c>
      <c r="B88" t="s">
        <v>129</v>
      </c>
      <c r="C88" t="s">
        <v>149</v>
      </c>
    </row>
    <row r="89" spans="1:3" x14ac:dyDescent="0.25">
      <c r="A89" t="s">
        <v>182</v>
      </c>
      <c r="B89" t="s">
        <v>129</v>
      </c>
      <c r="C89" t="s">
        <v>149</v>
      </c>
    </row>
    <row r="90" spans="1:3" x14ac:dyDescent="0.25">
      <c r="A90" t="s">
        <v>183</v>
      </c>
      <c r="B90" t="s">
        <v>129</v>
      </c>
      <c r="C90" t="s">
        <v>149</v>
      </c>
    </row>
    <row r="91" spans="1:3" x14ac:dyDescent="0.25">
      <c r="A91" t="s">
        <v>141</v>
      </c>
      <c r="B91" t="s">
        <v>129</v>
      </c>
      <c r="C91" t="s">
        <v>149</v>
      </c>
    </row>
    <row r="92" spans="1:3" x14ac:dyDescent="0.25">
      <c r="A92" t="s">
        <v>142</v>
      </c>
      <c r="B92" t="s">
        <v>129</v>
      </c>
      <c r="C92" t="s">
        <v>149</v>
      </c>
    </row>
    <row r="93" spans="1:3" x14ac:dyDescent="0.25">
      <c r="A93" t="s">
        <v>184</v>
      </c>
      <c r="B93" t="s">
        <v>129</v>
      </c>
      <c r="C93" t="s">
        <v>149</v>
      </c>
    </row>
    <row r="94" spans="1:3" x14ac:dyDescent="0.25">
      <c r="A94" t="s">
        <v>185</v>
      </c>
      <c r="B94" t="s">
        <v>129</v>
      </c>
      <c r="C94" t="s">
        <v>148</v>
      </c>
    </row>
    <row r="95" spans="1:3" x14ac:dyDescent="0.25">
      <c r="A95" t="s">
        <v>150</v>
      </c>
      <c r="B95" t="s">
        <v>129</v>
      </c>
      <c r="C95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B65F-7349-42D6-B37F-27D1473A5521}">
  <sheetPr codeName="Sheet8">
    <tabColor theme="6"/>
  </sheetPr>
  <dimension ref="A1:C126"/>
  <sheetViews>
    <sheetView workbookViewId="0">
      <selection activeCell="E13" sqref="E13"/>
    </sheetView>
  </sheetViews>
  <sheetFormatPr defaultRowHeight="15.75" x14ac:dyDescent="0.25"/>
  <cols>
    <col min="1" max="1" width="49.875" customWidth="1"/>
    <col min="2" max="2" width="38.375" customWidth="1"/>
    <col min="3" max="3" width="17.25" customWidth="1"/>
  </cols>
  <sheetData>
    <row r="1" spans="1:3" s="83" customFormat="1" x14ac:dyDescent="0.25">
      <c r="A1" s="83" t="s">
        <v>224</v>
      </c>
      <c r="B1" s="83" t="s">
        <v>220</v>
      </c>
      <c r="C1" s="84">
        <v>46022</v>
      </c>
    </row>
    <row r="2" spans="1:3" s="85" customFormat="1" x14ac:dyDescent="0.25">
      <c r="A2" s="85" t="s">
        <v>219</v>
      </c>
      <c r="B2" s="85" t="s">
        <v>222</v>
      </c>
      <c r="C2" s="85" t="s">
        <v>221</v>
      </c>
    </row>
    <row r="3" spans="1:3" x14ac:dyDescent="0.25">
      <c r="A3" t="s">
        <v>5</v>
      </c>
      <c r="B3" t="s">
        <v>2</v>
      </c>
      <c r="C3" t="s">
        <v>149</v>
      </c>
    </row>
    <row r="4" spans="1:3" x14ac:dyDescent="0.25">
      <c r="A4" t="s">
        <v>10</v>
      </c>
      <c r="B4" t="s">
        <v>2</v>
      </c>
      <c r="C4" t="s">
        <v>149</v>
      </c>
    </row>
    <row r="5" spans="1:3" x14ac:dyDescent="0.25">
      <c r="A5" t="s">
        <v>12</v>
      </c>
      <c r="B5" t="s">
        <v>2</v>
      </c>
      <c r="C5" t="s">
        <v>149</v>
      </c>
    </row>
    <row r="6" spans="1:3" x14ac:dyDescent="0.25">
      <c r="A6" t="s">
        <v>14</v>
      </c>
      <c r="B6" t="s">
        <v>2</v>
      </c>
      <c r="C6" t="s">
        <v>149</v>
      </c>
    </row>
    <row r="7" spans="1:3" x14ac:dyDescent="0.25">
      <c r="A7" t="s">
        <v>16</v>
      </c>
      <c r="B7" t="s">
        <v>2</v>
      </c>
      <c r="C7" t="s">
        <v>149</v>
      </c>
    </row>
    <row r="8" spans="1:3" x14ac:dyDescent="0.25">
      <c r="A8" t="s">
        <v>18</v>
      </c>
      <c r="B8" t="s">
        <v>2</v>
      </c>
      <c r="C8" t="s">
        <v>149</v>
      </c>
    </row>
    <row r="9" spans="1:3" x14ac:dyDescent="0.25">
      <c r="A9" t="s">
        <v>20</v>
      </c>
      <c r="B9" t="s">
        <v>2</v>
      </c>
      <c r="C9" t="s">
        <v>149</v>
      </c>
    </row>
    <row r="10" spans="1:3" x14ac:dyDescent="0.25">
      <c r="A10" t="s">
        <v>21</v>
      </c>
      <c r="B10" t="s">
        <v>2</v>
      </c>
      <c r="C10" t="s">
        <v>149</v>
      </c>
    </row>
    <row r="11" spans="1:3" x14ac:dyDescent="0.25">
      <c r="A11" t="s">
        <v>22</v>
      </c>
      <c r="B11" t="s">
        <v>2</v>
      </c>
      <c r="C11" t="s">
        <v>149</v>
      </c>
    </row>
    <row r="12" spans="1:3" x14ac:dyDescent="0.25">
      <c r="A12" t="s">
        <v>23</v>
      </c>
      <c r="B12" t="s">
        <v>2</v>
      </c>
      <c r="C12" t="s">
        <v>149</v>
      </c>
    </row>
    <row r="13" spans="1:3" x14ac:dyDescent="0.25">
      <c r="A13" t="s">
        <v>24</v>
      </c>
      <c r="B13" t="s">
        <v>2</v>
      </c>
      <c r="C13" t="s">
        <v>149</v>
      </c>
    </row>
    <row r="14" spans="1:3" x14ac:dyDescent="0.25">
      <c r="A14" t="s">
        <v>25</v>
      </c>
      <c r="B14" t="s">
        <v>2</v>
      </c>
      <c r="C14" t="s">
        <v>149</v>
      </c>
    </row>
    <row r="15" spans="1:3" x14ac:dyDescent="0.25">
      <c r="A15" t="s">
        <v>26</v>
      </c>
      <c r="B15" t="s">
        <v>2</v>
      </c>
      <c r="C15" t="s">
        <v>149</v>
      </c>
    </row>
    <row r="16" spans="1:3" x14ac:dyDescent="0.25">
      <c r="A16" t="s">
        <v>27</v>
      </c>
      <c r="B16" t="s">
        <v>2</v>
      </c>
      <c r="C16" t="s">
        <v>149</v>
      </c>
    </row>
    <row r="17" spans="1:3" x14ac:dyDescent="0.25">
      <c r="A17" t="s">
        <v>28</v>
      </c>
      <c r="B17" t="s">
        <v>2</v>
      </c>
      <c r="C17" t="s">
        <v>149</v>
      </c>
    </row>
    <row r="18" spans="1:3" x14ac:dyDescent="0.25">
      <c r="A18" t="s">
        <v>29</v>
      </c>
      <c r="B18" t="s">
        <v>2</v>
      </c>
      <c r="C18" t="s">
        <v>149</v>
      </c>
    </row>
    <row r="19" spans="1:3" x14ac:dyDescent="0.25">
      <c r="A19" t="s">
        <v>30</v>
      </c>
      <c r="B19" t="s">
        <v>2</v>
      </c>
      <c r="C19" t="s">
        <v>149</v>
      </c>
    </row>
    <row r="20" spans="1:3" x14ac:dyDescent="0.25">
      <c r="A20" t="s">
        <v>31</v>
      </c>
      <c r="B20" t="s">
        <v>2</v>
      </c>
      <c r="C20" t="s">
        <v>149</v>
      </c>
    </row>
    <row r="21" spans="1:3" x14ac:dyDescent="0.25">
      <c r="A21" t="s">
        <v>32</v>
      </c>
      <c r="B21" t="s">
        <v>2</v>
      </c>
      <c r="C21" t="s">
        <v>149</v>
      </c>
    </row>
    <row r="22" spans="1:3" x14ac:dyDescent="0.25">
      <c r="A22" t="s">
        <v>33</v>
      </c>
      <c r="B22" t="s">
        <v>2</v>
      </c>
      <c r="C22" t="s">
        <v>149</v>
      </c>
    </row>
    <row r="23" spans="1:3" x14ac:dyDescent="0.25">
      <c r="A23" t="s">
        <v>34</v>
      </c>
      <c r="B23" t="s">
        <v>2</v>
      </c>
      <c r="C23" t="s">
        <v>149</v>
      </c>
    </row>
    <row r="24" spans="1:3" x14ac:dyDescent="0.25">
      <c r="A24" t="s">
        <v>35</v>
      </c>
      <c r="B24" t="s">
        <v>2</v>
      </c>
      <c r="C24" t="s">
        <v>149</v>
      </c>
    </row>
    <row r="25" spans="1:3" x14ac:dyDescent="0.25">
      <c r="A25" t="s">
        <v>36</v>
      </c>
      <c r="B25" t="s">
        <v>2</v>
      </c>
      <c r="C25" t="s">
        <v>149</v>
      </c>
    </row>
    <row r="26" spans="1:3" x14ac:dyDescent="0.25">
      <c r="A26" t="s">
        <v>37</v>
      </c>
      <c r="B26" t="s">
        <v>2</v>
      </c>
      <c r="C26" t="s">
        <v>149</v>
      </c>
    </row>
    <row r="27" spans="1:3" x14ac:dyDescent="0.25">
      <c r="A27" t="s">
        <v>38</v>
      </c>
      <c r="B27" t="s">
        <v>2</v>
      </c>
      <c r="C27" t="s">
        <v>149</v>
      </c>
    </row>
    <row r="28" spans="1:3" x14ac:dyDescent="0.25">
      <c r="A28" t="s">
        <v>39</v>
      </c>
      <c r="B28" t="s">
        <v>2</v>
      </c>
      <c r="C28" t="s">
        <v>149</v>
      </c>
    </row>
    <row r="29" spans="1:3" x14ac:dyDescent="0.25">
      <c r="A29" t="s">
        <v>40</v>
      </c>
      <c r="B29" t="s">
        <v>2</v>
      </c>
      <c r="C29" t="s">
        <v>149</v>
      </c>
    </row>
    <row r="30" spans="1:3" x14ac:dyDescent="0.25">
      <c r="A30" t="s">
        <v>41</v>
      </c>
      <c r="B30" t="s">
        <v>2</v>
      </c>
      <c r="C30" t="s">
        <v>149</v>
      </c>
    </row>
    <row r="31" spans="1:3" x14ac:dyDescent="0.25">
      <c r="A31" t="s">
        <v>42</v>
      </c>
      <c r="B31" t="s">
        <v>2</v>
      </c>
      <c r="C31" t="s">
        <v>149</v>
      </c>
    </row>
    <row r="32" spans="1:3" x14ac:dyDescent="0.25">
      <c r="A32" t="s">
        <v>43</v>
      </c>
      <c r="B32" t="s">
        <v>2</v>
      </c>
      <c r="C32" t="s">
        <v>149</v>
      </c>
    </row>
    <row r="33" spans="1:3" x14ac:dyDescent="0.25">
      <c r="A33" t="s">
        <v>44</v>
      </c>
      <c r="B33" t="s">
        <v>2</v>
      </c>
      <c r="C33" t="s">
        <v>149</v>
      </c>
    </row>
    <row r="34" spans="1:3" x14ac:dyDescent="0.25">
      <c r="A34" t="s">
        <v>45</v>
      </c>
      <c r="B34" t="s">
        <v>2</v>
      </c>
      <c r="C34" t="s">
        <v>149</v>
      </c>
    </row>
    <row r="35" spans="1:3" x14ac:dyDescent="0.25">
      <c r="A35" t="s">
        <v>46</v>
      </c>
      <c r="B35" t="s">
        <v>2</v>
      </c>
      <c r="C35" t="s">
        <v>149</v>
      </c>
    </row>
    <row r="36" spans="1:3" x14ac:dyDescent="0.25">
      <c r="A36" t="s">
        <v>47</v>
      </c>
      <c r="B36" t="s">
        <v>2</v>
      </c>
      <c r="C36" t="s">
        <v>149</v>
      </c>
    </row>
    <row r="37" spans="1:3" x14ac:dyDescent="0.25">
      <c r="A37" t="s">
        <v>48</v>
      </c>
      <c r="B37" t="s">
        <v>2</v>
      </c>
      <c r="C37" t="s">
        <v>149</v>
      </c>
    </row>
    <row r="38" spans="1:3" x14ac:dyDescent="0.25">
      <c r="A38" t="s">
        <v>49</v>
      </c>
      <c r="B38" t="s">
        <v>2</v>
      </c>
      <c r="C38" t="s">
        <v>149</v>
      </c>
    </row>
    <row r="39" spans="1:3" x14ac:dyDescent="0.25">
      <c r="A39" t="s">
        <v>50</v>
      </c>
      <c r="B39" t="s">
        <v>2</v>
      </c>
      <c r="C39" t="s">
        <v>149</v>
      </c>
    </row>
    <row r="40" spans="1:3" x14ac:dyDescent="0.25">
      <c r="A40" t="s">
        <v>51</v>
      </c>
      <c r="B40" t="s">
        <v>2</v>
      </c>
      <c r="C40" t="s">
        <v>149</v>
      </c>
    </row>
    <row r="41" spans="1:3" x14ac:dyDescent="0.25">
      <c r="A41" t="s">
        <v>52</v>
      </c>
      <c r="B41" t="s">
        <v>2</v>
      </c>
      <c r="C41" t="s">
        <v>149</v>
      </c>
    </row>
    <row r="42" spans="1:3" x14ac:dyDescent="0.25">
      <c r="A42" t="s">
        <v>53</v>
      </c>
      <c r="B42" t="s">
        <v>2</v>
      </c>
      <c r="C42" t="s">
        <v>149</v>
      </c>
    </row>
    <row r="43" spans="1:3" x14ac:dyDescent="0.25">
      <c r="A43" t="s">
        <v>55</v>
      </c>
      <c r="B43" t="s">
        <v>54</v>
      </c>
      <c r="C43" t="s">
        <v>149</v>
      </c>
    </row>
    <row r="44" spans="1:3" x14ac:dyDescent="0.25">
      <c r="A44" t="s">
        <v>56</v>
      </c>
      <c r="B44" t="s">
        <v>54</v>
      </c>
      <c r="C44" t="s">
        <v>149</v>
      </c>
    </row>
    <row r="45" spans="1:3" x14ac:dyDescent="0.25">
      <c r="A45" t="s">
        <v>57</v>
      </c>
      <c r="B45" t="s">
        <v>54</v>
      </c>
      <c r="C45" t="s">
        <v>149</v>
      </c>
    </row>
    <row r="46" spans="1:3" x14ac:dyDescent="0.25">
      <c r="A46" t="s">
        <v>58</v>
      </c>
      <c r="B46" t="s">
        <v>54</v>
      </c>
      <c r="C46" t="s">
        <v>149</v>
      </c>
    </row>
    <row r="47" spans="1:3" x14ac:dyDescent="0.25">
      <c r="A47" t="s">
        <v>59</v>
      </c>
      <c r="B47" t="s">
        <v>54</v>
      </c>
      <c r="C47" t="s">
        <v>149</v>
      </c>
    </row>
    <row r="48" spans="1:3" x14ac:dyDescent="0.25">
      <c r="A48" t="s">
        <v>60</v>
      </c>
      <c r="B48" t="s">
        <v>54</v>
      </c>
      <c r="C48" t="s">
        <v>149</v>
      </c>
    </row>
    <row r="49" spans="1:3" x14ac:dyDescent="0.25">
      <c r="A49" t="s">
        <v>61</v>
      </c>
      <c r="B49" t="s">
        <v>54</v>
      </c>
      <c r="C49" t="s">
        <v>149</v>
      </c>
    </row>
    <row r="50" spans="1:3" x14ac:dyDescent="0.25">
      <c r="A50" t="s">
        <v>62</v>
      </c>
      <c r="B50" t="s">
        <v>54</v>
      </c>
      <c r="C50" t="s">
        <v>149</v>
      </c>
    </row>
    <row r="51" spans="1:3" x14ac:dyDescent="0.25">
      <c r="A51" t="s">
        <v>63</v>
      </c>
      <c r="B51" t="s">
        <v>54</v>
      </c>
      <c r="C51" t="s">
        <v>149</v>
      </c>
    </row>
    <row r="52" spans="1:3" x14ac:dyDescent="0.25">
      <c r="A52" t="s">
        <v>64</v>
      </c>
      <c r="B52" t="s">
        <v>54</v>
      </c>
      <c r="C52" t="s">
        <v>149</v>
      </c>
    </row>
    <row r="53" spans="1:3" x14ac:dyDescent="0.25">
      <c r="A53" t="s">
        <v>65</v>
      </c>
      <c r="B53" t="s">
        <v>54</v>
      </c>
      <c r="C53" t="s">
        <v>149</v>
      </c>
    </row>
    <row r="54" spans="1:3" x14ac:dyDescent="0.25">
      <c r="A54" t="s">
        <v>66</v>
      </c>
      <c r="B54" t="s">
        <v>54</v>
      </c>
      <c r="C54" t="s">
        <v>149</v>
      </c>
    </row>
    <row r="55" spans="1:3" x14ac:dyDescent="0.25">
      <c r="A55" t="s">
        <v>67</v>
      </c>
      <c r="B55" t="s">
        <v>54</v>
      </c>
      <c r="C55" t="s">
        <v>149</v>
      </c>
    </row>
    <row r="56" spans="1:3" x14ac:dyDescent="0.25">
      <c r="A56" t="s">
        <v>68</v>
      </c>
      <c r="B56" t="s">
        <v>54</v>
      </c>
      <c r="C56" t="s">
        <v>149</v>
      </c>
    </row>
    <row r="57" spans="1:3" x14ac:dyDescent="0.25">
      <c r="A57" t="s">
        <v>69</v>
      </c>
      <c r="B57" t="s">
        <v>54</v>
      </c>
      <c r="C57" t="s">
        <v>149</v>
      </c>
    </row>
    <row r="58" spans="1:3" x14ac:dyDescent="0.25">
      <c r="A58" t="s">
        <v>70</v>
      </c>
      <c r="B58" t="s">
        <v>54</v>
      </c>
      <c r="C58" t="s">
        <v>149</v>
      </c>
    </row>
    <row r="59" spans="1:3" x14ac:dyDescent="0.25">
      <c r="A59" t="s">
        <v>71</v>
      </c>
      <c r="B59" t="s">
        <v>54</v>
      </c>
      <c r="C59" t="s">
        <v>149</v>
      </c>
    </row>
    <row r="60" spans="1:3" x14ac:dyDescent="0.25">
      <c r="A60" t="s">
        <v>72</v>
      </c>
      <c r="B60" t="s">
        <v>54</v>
      </c>
      <c r="C60" t="s">
        <v>149</v>
      </c>
    </row>
    <row r="61" spans="1:3" x14ac:dyDescent="0.25">
      <c r="A61" t="s">
        <v>73</v>
      </c>
      <c r="B61" t="s">
        <v>54</v>
      </c>
      <c r="C61" t="s">
        <v>149</v>
      </c>
    </row>
    <row r="62" spans="1:3" x14ac:dyDescent="0.25">
      <c r="A62" t="s">
        <v>74</v>
      </c>
      <c r="B62" t="s">
        <v>54</v>
      </c>
      <c r="C62" t="s">
        <v>149</v>
      </c>
    </row>
    <row r="63" spans="1:3" x14ac:dyDescent="0.25">
      <c r="A63" t="s">
        <v>77</v>
      </c>
      <c r="B63" t="s">
        <v>76</v>
      </c>
      <c r="C63" t="s">
        <v>149</v>
      </c>
    </row>
    <row r="64" spans="1:3" x14ac:dyDescent="0.25">
      <c r="A64" t="s">
        <v>78</v>
      </c>
      <c r="B64" t="s">
        <v>76</v>
      </c>
      <c r="C64" t="s">
        <v>149</v>
      </c>
    </row>
    <row r="65" spans="1:3" x14ac:dyDescent="0.25">
      <c r="A65" t="s">
        <v>79</v>
      </c>
      <c r="B65" t="s">
        <v>76</v>
      </c>
      <c r="C65" t="s">
        <v>149</v>
      </c>
    </row>
    <row r="66" spans="1:3" x14ac:dyDescent="0.25">
      <c r="A66" t="s">
        <v>80</v>
      </c>
      <c r="B66" t="s">
        <v>76</v>
      </c>
      <c r="C66" t="s">
        <v>149</v>
      </c>
    </row>
    <row r="67" spans="1:3" x14ac:dyDescent="0.25">
      <c r="A67" t="s">
        <v>81</v>
      </c>
      <c r="B67" t="s">
        <v>76</v>
      </c>
      <c r="C67" t="s">
        <v>149</v>
      </c>
    </row>
    <row r="68" spans="1:3" x14ac:dyDescent="0.25">
      <c r="A68" t="s">
        <v>82</v>
      </c>
      <c r="B68" t="s">
        <v>76</v>
      </c>
      <c r="C68" t="s">
        <v>149</v>
      </c>
    </row>
    <row r="69" spans="1:3" x14ac:dyDescent="0.25">
      <c r="A69" t="s">
        <v>83</v>
      </c>
      <c r="B69" t="s">
        <v>76</v>
      </c>
      <c r="C69" t="s">
        <v>149</v>
      </c>
    </row>
    <row r="70" spans="1:3" x14ac:dyDescent="0.25">
      <c r="A70" t="s">
        <v>84</v>
      </c>
      <c r="B70" t="s">
        <v>76</v>
      </c>
      <c r="C70" t="s">
        <v>149</v>
      </c>
    </row>
    <row r="71" spans="1:3" x14ac:dyDescent="0.25">
      <c r="A71" t="s">
        <v>85</v>
      </c>
      <c r="B71" t="s">
        <v>76</v>
      </c>
      <c r="C71" t="s">
        <v>149</v>
      </c>
    </row>
    <row r="72" spans="1:3" x14ac:dyDescent="0.25">
      <c r="A72" t="s">
        <v>86</v>
      </c>
      <c r="B72" t="s">
        <v>76</v>
      </c>
      <c r="C72" t="s">
        <v>149</v>
      </c>
    </row>
    <row r="73" spans="1:3" x14ac:dyDescent="0.25">
      <c r="A73" t="s">
        <v>87</v>
      </c>
      <c r="B73" t="s">
        <v>76</v>
      </c>
      <c r="C73" t="s">
        <v>149</v>
      </c>
    </row>
    <row r="74" spans="1:3" x14ac:dyDescent="0.25">
      <c r="A74" t="s">
        <v>88</v>
      </c>
      <c r="B74" t="s">
        <v>76</v>
      </c>
      <c r="C74" t="s">
        <v>149</v>
      </c>
    </row>
    <row r="75" spans="1:3" x14ac:dyDescent="0.25">
      <c r="A75" t="s">
        <v>89</v>
      </c>
      <c r="B75" t="s">
        <v>76</v>
      </c>
      <c r="C75" t="s">
        <v>149</v>
      </c>
    </row>
    <row r="76" spans="1:3" x14ac:dyDescent="0.25">
      <c r="A76" t="s">
        <v>90</v>
      </c>
      <c r="B76" t="s">
        <v>76</v>
      </c>
      <c r="C76" t="s">
        <v>149</v>
      </c>
    </row>
    <row r="77" spans="1:3" x14ac:dyDescent="0.25">
      <c r="A77" t="s">
        <v>91</v>
      </c>
      <c r="B77" t="s">
        <v>76</v>
      </c>
      <c r="C77" t="s">
        <v>149</v>
      </c>
    </row>
    <row r="78" spans="1:3" x14ac:dyDescent="0.25">
      <c r="A78" t="s">
        <v>92</v>
      </c>
      <c r="B78" t="s">
        <v>76</v>
      </c>
      <c r="C78" t="s">
        <v>149</v>
      </c>
    </row>
    <row r="79" spans="1:3" x14ac:dyDescent="0.25">
      <c r="A79" t="s">
        <v>93</v>
      </c>
      <c r="B79" t="s">
        <v>76</v>
      </c>
      <c r="C79" t="s">
        <v>149</v>
      </c>
    </row>
    <row r="80" spans="1:3" x14ac:dyDescent="0.25">
      <c r="A80" t="s">
        <v>94</v>
      </c>
      <c r="B80" t="s">
        <v>76</v>
      </c>
      <c r="C80" t="s">
        <v>149</v>
      </c>
    </row>
    <row r="81" spans="1:3" x14ac:dyDescent="0.25">
      <c r="A81" t="s">
        <v>95</v>
      </c>
      <c r="B81" t="s">
        <v>76</v>
      </c>
      <c r="C81" t="s">
        <v>149</v>
      </c>
    </row>
    <row r="82" spans="1:3" x14ac:dyDescent="0.25">
      <c r="A82" t="s">
        <v>96</v>
      </c>
      <c r="B82" t="s">
        <v>76</v>
      </c>
      <c r="C82" t="s">
        <v>149</v>
      </c>
    </row>
    <row r="83" spans="1:3" x14ac:dyDescent="0.25">
      <c r="A83" t="s">
        <v>97</v>
      </c>
      <c r="B83" t="s">
        <v>76</v>
      </c>
      <c r="C83" t="s">
        <v>149</v>
      </c>
    </row>
    <row r="84" spans="1:3" x14ac:dyDescent="0.25">
      <c r="A84" t="s">
        <v>98</v>
      </c>
      <c r="B84" t="s">
        <v>76</v>
      </c>
      <c r="C84" t="s">
        <v>149</v>
      </c>
    </row>
    <row r="85" spans="1:3" x14ac:dyDescent="0.25">
      <c r="A85" t="s">
        <v>99</v>
      </c>
      <c r="B85" t="s">
        <v>76</v>
      </c>
      <c r="C85" t="s">
        <v>149</v>
      </c>
    </row>
    <row r="86" spans="1:3" x14ac:dyDescent="0.25">
      <c r="A86" t="s">
        <v>100</v>
      </c>
      <c r="B86" t="s">
        <v>76</v>
      </c>
      <c r="C86" t="s">
        <v>149</v>
      </c>
    </row>
    <row r="87" spans="1:3" x14ac:dyDescent="0.25">
      <c r="A87" t="s">
        <v>101</v>
      </c>
      <c r="B87" t="s">
        <v>76</v>
      </c>
      <c r="C87" t="s">
        <v>149</v>
      </c>
    </row>
    <row r="88" spans="1:3" x14ac:dyDescent="0.25">
      <c r="A88" t="s">
        <v>102</v>
      </c>
      <c r="B88" t="s">
        <v>76</v>
      </c>
      <c r="C88" t="s">
        <v>149</v>
      </c>
    </row>
    <row r="89" spans="1:3" x14ac:dyDescent="0.25">
      <c r="A89" t="s">
        <v>103</v>
      </c>
      <c r="B89" t="s">
        <v>76</v>
      </c>
      <c r="C89" t="s">
        <v>149</v>
      </c>
    </row>
    <row r="90" spans="1:3" x14ac:dyDescent="0.25">
      <c r="A90" t="s">
        <v>104</v>
      </c>
      <c r="B90" t="s">
        <v>76</v>
      </c>
      <c r="C90" t="s">
        <v>149</v>
      </c>
    </row>
    <row r="91" spans="1:3" x14ac:dyDescent="0.25">
      <c r="A91" t="s">
        <v>105</v>
      </c>
      <c r="B91" t="s">
        <v>76</v>
      </c>
      <c r="C91" t="s">
        <v>149</v>
      </c>
    </row>
    <row r="92" spans="1:3" x14ac:dyDescent="0.25">
      <c r="A92" t="s">
        <v>106</v>
      </c>
      <c r="B92" t="s">
        <v>76</v>
      </c>
      <c r="C92" t="s">
        <v>149</v>
      </c>
    </row>
    <row r="93" spans="1:3" x14ac:dyDescent="0.25">
      <c r="A93" t="s">
        <v>107</v>
      </c>
      <c r="B93" t="s">
        <v>76</v>
      </c>
      <c r="C93" t="s">
        <v>149</v>
      </c>
    </row>
    <row r="94" spans="1:3" x14ac:dyDescent="0.25">
      <c r="A94" t="s">
        <v>108</v>
      </c>
      <c r="B94" t="s">
        <v>76</v>
      </c>
      <c r="C94" t="s">
        <v>149</v>
      </c>
    </row>
    <row r="95" spans="1:3" x14ac:dyDescent="0.25">
      <c r="A95" t="s">
        <v>109</v>
      </c>
      <c r="B95" t="s">
        <v>76</v>
      </c>
      <c r="C95" t="s">
        <v>149</v>
      </c>
    </row>
    <row r="96" spans="1:3" x14ac:dyDescent="0.25">
      <c r="A96" t="s">
        <v>110</v>
      </c>
      <c r="B96" t="s">
        <v>76</v>
      </c>
      <c r="C96" t="s">
        <v>149</v>
      </c>
    </row>
    <row r="97" spans="1:3" x14ac:dyDescent="0.25">
      <c r="A97" t="s">
        <v>111</v>
      </c>
      <c r="B97" t="s">
        <v>76</v>
      </c>
      <c r="C97" t="s">
        <v>149</v>
      </c>
    </row>
    <row r="98" spans="1:3" x14ac:dyDescent="0.25">
      <c r="A98" t="s">
        <v>112</v>
      </c>
      <c r="B98" t="s">
        <v>76</v>
      </c>
      <c r="C98" t="s">
        <v>149</v>
      </c>
    </row>
    <row r="99" spans="1:3" x14ac:dyDescent="0.25">
      <c r="A99" t="s">
        <v>113</v>
      </c>
      <c r="B99" t="s">
        <v>76</v>
      </c>
      <c r="C99" t="s">
        <v>149</v>
      </c>
    </row>
    <row r="100" spans="1:3" x14ac:dyDescent="0.25">
      <c r="A100" t="s">
        <v>114</v>
      </c>
      <c r="B100" t="s">
        <v>76</v>
      </c>
      <c r="C100" t="s">
        <v>149</v>
      </c>
    </row>
    <row r="101" spans="1:3" x14ac:dyDescent="0.25">
      <c r="A101" t="s">
        <v>115</v>
      </c>
      <c r="B101" t="s">
        <v>76</v>
      </c>
      <c r="C101" t="s">
        <v>149</v>
      </c>
    </row>
    <row r="102" spans="1:3" x14ac:dyDescent="0.25">
      <c r="A102" t="s">
        <v>116</v>
      </c>
      <c r="B102" t="s">
        <v>76</v>
      </c>
      <c r="C102" t="s">
        <v>149</v>
      </c>
    </row>
    <row r="103" spans="1:3" x14ac:dyDescent="0.25">
      <c r="A103" t="s">
        <v>117</v>
      </c>
      <c r="B103" t="s">
        <v>76</v>
      </c>
      <c r="C103" t="s">
        <v>149</v>
      </c>
    </row>
    <row r="104" spans="1:3" x14ac:dyDescent="0.25">
      <c r="A104" t="s">
        <v>118</v>
      </c>
      <c r="B104" t="s">
        <v>76</v>
      </c>
      <c r="C104" t="s">
        <v>149</v>
      </c>
    </row>
    <row r="105" spans="1:3" x14ac:dyDescent="0.25">
      <c r="A105" t="s">
        <v>119</v>
      </c>
      <c r="B105" t="s">
        <v>76</v>
      </c>
      <c r="C105" t="s">
        <v>149</v>
      </c>
    </row>
    <row r="106" spans="1:3" x14ac:dyDescent="0.25">
      <c r="A106" t="s">
        <v>120</v>
      </c>
      <c r="B106" t="s">
        <v>76</v>
      </c>
      <c r="C106" t="s">
        <v>149</v>
      </c>
    </row>
    <row r="107" spans="1:3" x14ac:dyDescent="0.25">
      <c r="A107" t="s">
        <v>121</v>
      </c>
      <c r="B107" t="s">
        <v>76</v>
      </c>
      <c r="C107" t="s">
        <v>149</v>
      </c>
    </row>
    <row r="108" spans="1:3" x14ac:dyDescent="0.25">
      <c r="A108" t="s">
        <v>122</v>
      </c>
      <c r="B108" t="s">
        <v>76</v>
      </c>
      <c r="C108" t="s">
        <v>149</v>
      </c>
    </row>
    <row r="109" spans="1:3" x14ac:dyDescent="0.25">
      <c r="A109" t="s">
        <v>124</v>
      </c>
      <c r="B109" t="s">
        <v>123</v>
      </c>
      <c r="C109" t="s">
        <v>149</v>
      </c>
    </row>
    <row r="110" spans="1:3" x14ac:dyDescent="0.25">
      <c r="A110" t="s">
        <v>125</v>
      </c>
      <c r="B110" t="s">
        <v>123</v>
      </c>
      <c r="C110" t="s">
        <v>149</v>
      </c>
    </row>
    <row r="111" spans="1:3" x14ac:dyDescent="0.25">
      <c r="A111" t="s">
        <v>126</v>
      </c>
      <c r="B111" t="s">
        <v>123</v>
      </c>
      <c r="C111" t="s">
        <v>149</v>
      </c>
    </row>
    <row r="112" spans="1:3" x14ac:dyDescent="0.25">
      <c r="A112" t="s">
        <v>127</v>
      </c>
      <c r="B112" t="s">
        <v>123</v>
      </c>
      <c r="C112" t="s">
        <v>149</v>
      </c>
    </row>
    <row r="113" spans="1:3" x14ac:dyDescent="0.25">
      <c r="A113" t="s">
        <v>128</v>
      </c>
      <c r="B113" t="s">
        <v>123</v>
      </c>
      <c r="C113" t="s">
        <v>149</v>
      </c>
    </row>
    <row r="114" spans="1:3" x14ac:dyDescent="0.25">
      <c r="A114" t="s">
        <v>130</v>
      </c>
      <c r="B114" t="s">
        <v>129</v>
      </c>
      <c r="C114" t="s">
        <v>149</v>
      </c>
    </row>
    <row r="115" spans="1:3" x14ac:dyDescent="0.25">
      <c r="A115" t="s">
        <v>131</v>
      </c>
      <c r="B115" t="s">
        <v>129</v>
      </c>
      <c r="C115" t="s">
        <v>149</v>
      </c>
    </row>
    <row r="116" spans="1:3" x14ac:dyDescent="0.25">
      <c r="A116" t="s">
        <v>132</v>
      </c>
      <c r="B116" t="s">
        <v>129</v>
      </c>
      <c r="C116" t="s">
        <v>149</v>
      </c>
    </row>
    <row r="117" spans="1:3" x14ac:dyDescent="0.25">
      <c r="A117" t="s">
        <v>133</v>
      </c>
      <c r="B117" t="s">
        <v>129</v>
      </c>
      <c r="C117" t="s">
        <v>149</v>
      </c>
    </row>
    <row r="118" spans="1:3" x14ac:dyDescent="0.25">
      <c r="A118" t="s">
        <v>134</v>
      </c>
      <c r="B118" t="s">
        <v>129</v>
      </c>
      <c r="C118" t="s">
        <v>149</v>
      </c>
    </row>
    <row r="119" spans="1:3" x14ac:dyDescent="0.25">
      <c r="A119" t="s">
        <v>135</v>
      </c>
      <c r="B119" t="s">
        <v>129</v>
      </c>
      <c r="C119" t="s">
        <v>149</v>
      </c>
    </row>
    <row r="120" spans="1:3" x14ac:dyDescent="0.25">
      <c r="A120" t="s">
        <v>136</v>
      </c>
      <c r="B120" t="s">
        <v>129</v>
      </c>
      <c r="C120" t="s">
        <v>149</v>
      </c>
    </row>
    <row r="121" spans="1:3" x14ac:dyDescent="0.25">
      <c r="A121" t="s">
        <v>137</v>
      </c>
      <c r="B121" t="s">
        <v>129</v>
      </c>
      <c r="C121" t="s">
        <v>149</v>
      </c>
    </row>
    <row r="122" spans="1:3" x14ac:dyDescent="0.25">
      <c r="A122" t="s">
        <v>138</v>
      </c>
      <c r="B122" t="s">
        <v>129</v>
      </c>
      <c r="C122" t="s">
        <v>149</v>
      </c>
    </row>
    <row r="123" spans="1:3" x14ac:dyDescent="0.25">
      <c r="A123" t="s">
        <v>139</v>
      </c>
      <c r="B123" t="s">
        <v>129</v>
      </c>
      <c r="C123" t="s">
        <v>149</v>
      </c>
    </row>
    <row r="124" spans="1:3" x14ac:dyDescent="0.25">
      <c r="A124" t="s">
        <v>140</v>
      </c>
      <c r="B124" t="s">
        <v>129</v>
      </c>
      <c r="C124" t="s">
        <v>149</v>
      </c>
    </row>
    <row r="125" spans="1:3" x14ac:dyDescent="0.25">
      <c r="A125" t="s">
        <v>141</v>
      </c>
      <c r="B125" t="s">
        <v>129</v>
      </c>
      <c r="C125" t="s">
        <v>149</v>
      </c>
    </row>
    <row r="126" spans="1:3" x14ac:dyDescent="0.25">
      <c r="A126" t="s">
        <v>142</v>
      </c>
      <c r="B126" t="s">
        <v>129</v>
      </c>
      <c r="C126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B787-EA17-4815-BDEA-87A05B69C8B4}">
  <sheetPr codeName="Sheet9">
    <tabColor theme="6"/>
  </sheetPr>
  <dimension ref="A1:C62"/>
  <sheetViews>
    <sheetView workbookViewId="0">
      <selection activeCell="F54" sqref="F54"/>
    </sheetView>
  </sheetViews>
  <sheetFormatPr defaultRowHeight="15.75" x14ac:dyDescent="0.25"/>
  <cols>
    <col min="1" max="1" width="49.875" customWidth="1"/>
    <col min="2" max="2" width="38.375" customWidth="1"/>
    <col min="3" max="3" width="17.25" customWidth="1"/>
  </cols>
  <sheetData>
    <row r="1" spans="1:3" s="83" customFormat="1" x14ac:dyDescent="0.25">
      <c r="A1" s="83" t="s">
        <v>225</v>
      </c>
      <c r="B1" s="83" t="s">
        <v>220</v>
      </c>
      <c r="C1" s="84">
        <v>46022</v>
      </c>
    </row>
    <row r="2" spans="1:3" s="85" customFormat="1" x14ac:dyDescent="0.25">
      <c r="A2" s="85" t="s">
        <v>219</v>
      </c>
      <c r="B2" s="85" t="s">
        <v>222</v>
      </c>
      <c r="C2" s="85" t="s">
        <v>221</v>
      </c>
    </row>
    <row r="3" spans="1:3" x14ac:dyDescent="0.25">
      <c r="A3" t="s">
        <v>10</v>
      </c>
      <c r="B3" t="s">
        <v>2</v>
      </c>
      <c r="C3" t="s">
        <v>149</v>
      </c>
    </row>
    <row r="4" spans="1:3" x14ac:dyDescent="0.25">
      <c r="A4" t="s">
        <v>18</v>
      </c>
      <c r="B4" t="s">
        <v>2</v>
      </c>
      <c r="C4" t="s">
        <v>149</v>
      </c>
    </row>
    <row r="5" spans="1:3" x14ac:dyDescent="0.25">
      <c r="A5" t="s">
        <v>20</v>
      </c>
      <c r="B5" t="s">
        <v>2</v>
      </c>
      <c r="C5" t="s">
        <v>149</v>
      </c>
    </row>
    <row r="6" spans="1:3" x14ac:dyDescent="0.25">
      <c r="A6" t="s">
        <v>21</v>
      </c>
      <c r="B6" t="s">
        <v>2</v>
      </c>
      <c r="C6" t="s">
        <v>149</v>
      </c>
    </row>
    <row r="7" spans="1:3" x14ac:dyDescent="0.25">
      <c r="A7" t="s">
        <v>22</v>
      </c>
      <c r="B7" t="s">
        <v>2</v>
      </c>
      <c r="C7" t="s">
        <v>149</v>
      </c>
    </row>
    <row r="8" spans="1:3" x14ac:dyDescent="0.25">
      <c r="A8" t="s">
        <v>24</v>
      </c>
      <c r="B8" t="s">
        <v>2</v>
      </c>
      <c r="C8" t="s">
        <v>149</v>
      </c>
    </row>
    <row r="9" spans="1:3" x14ac:dyDescent="0.25">
      <c r="A9" t="s">
        <v>25</v>
      </c>
      <c r="B9" t="s">
        <v>2</v>
      </c>
      <c r="C9" t="s">
        <v>149</v>
      </c>
    </row>
    <row r="10" spans="1:3" x14ac:dyDescent="0.25">
      <c r="A10" t="s">
        <v>189</v>
      </c>
      <c r="B10" t="s">
        <v>2</v>
      </c>
      <c r="C10" t="s">
        <v>149</v>
      </c>
    </row>
    <row r="11" spans="1:3" x14ac:dyDescent="0.25">
      <c r="A11" t="s">
        <v>30</v>
      </c>
      <c r="B11" t="s">
        <v>2</v>
      </c>
      <c r="C11" t="s">
        <v>149</v>
      </c>
    </row>
    <row r="12" spans="1:3" x14ac:dyDescent="0.25">
      <c r="A12" t="s">
        <v>35</v>
      </c>
      <c r="B12" t="s">
        <v>2</v>
      </c>
      <c r="C12" t="s">
        <v>149</v>
      </c>
    </row>
    <row r="13" spans="1:3" x14ac:dyDescent="0.25">
      <c r="A13" t="s">
        <v>36</v>
      </c>
      <c r="B13" t="s">
        <v>2</v>
      </c>
      <c r="C13" t="s">
        <v>149</v>
      </c>
    </row>
    <row r="14" spans="1:3" x14ac:dyDescent="0.25">
      <c r="A14" t="s">
        <v>38</v>
      </c>
      <c r="B14" t="s">
        <v>2</v>
      </c>
      <c r="C14" t="s">
        <v>149</v>
      </c>
    </row>
    <row r="15" spans="1:3" x14ac:dyDescent="0.25">
      <c r="A15" t="s">
        <v>42</v>
      </c>
      <c r="B15" t="s">
        <v>2</v>
      </c>
      <c r="C15" t="s">
        <v>149</v>
      </c>
    </row>
    <row r="16" spans="1:3" x14ac:dyDescent="0.25">
      <c r="A16" t="s">
        <v>45</v>
      </c>
      <c r="B16" t="s">
        <v>2</v>
      </c>
      <c r="C16" t="s">
        <v>149</v>
      </c>
    </row>
    <row r="17" spans="1:3" x14ac:dyDescent="0.25">
      <c r="A17" t="s">
        <v>52</v>
      </c>
      <c r="B17" t="s">
        <v>2</v>
      </c>
      <c r="C17" t="s">
        <v>149</v>
      </c>
    </row>
    <row r="18" spans="1:3" x14ac:dyDescent="0.25">
      <c r="A18" t="s">
        <v>49</v>
      </c>
      <c r="B18" t="s">
        <v>2</v>
      </c>
      <c r="C18" t="s">
        <v>148</v>
      </c>
    </row>
    <row r="19" spans="1:3" x14ac:dyDescent="0.25">
      <c r="A19" t="s">
        <v>55</v>
      </c>
      <c r="B19" t="s">
        <v>54</v>
      </c>
      <c r="C19" t="s">
        <v>149</v>
      </c>
    </row>
    <row r="20" spans="1:3" x14ac:dyDescent="0.25">
      <c r="A20" t="s">
        <v>190</v>
      </c>
      <c r="B20" t="s">
        <v>54</v>
      </c>
      <c r="C20" t="s">
        <v>149</v>
      </c>
    </row>
    <row r="21" spans="1:3" x14ac:dyDescent="0.25">
      <c r="A21" t="s">
        <v>152</v>
      </c>
      <c r="B21" t="s">
        <v>54</v>
      </c>
      <c r="C21" t="s">
        <v>149</v>
      </c>
    </row>
    <row r="22" spans="1:3" x14ac:dyDescent="0.25">
      <c r="A22" t="s">
        <v>60</v>
      </c>
      <c r="B22" t="s">
        <v>54</v>
      </c>
      <c r="C22" t="s">
        <v>149</v>
      </c>
    </row>
    <row r="23" spans="1:3" x14ac:dyDescent="0.25">
      <c r="A23" t="s">
        <v>191</v>
      </c>
      <c r="B23" t="s">
        <v>54</v>
      </c>
      <c r="C23" t="s">
        <v>149</v>
      </c>
    </row>
    <row r="24" spans="1:3" x14ac:dyDescent="0.25">
      <c r="A24" t="s">
        <v>153</v>
      </c>
      <c r="B24" t="s">
        <v>54</v>
      </c>
      <c r="C24" t="s">
        <v>149</v>
      </c>
    </row>
    <row r="25" spans="1:3" x14ac:dyDescent="0.25">
      <c r="A25" t="s">
        <v>155</v>
      </c>
      <c r="B25" t="s">
        <v>54</v>
      </c>
      <c r="C25" t="s">
        <v>149</v>
      </c>
    </row>
    <row r="26" spans="1:3" x14ac:dyDescent="0.25">
      <c r="A26" t="s">
        <v>68</v>
      </c>
      <c r="B26" t="s">
        <v>54</v>
      </c>
      <c r="C26" t="s">
        <v>149</v>
      </c>
    </row>
    <row r="27" spans="1:3" x14ac:dyDescent="0.25">
      <c r="A27" t="s">
        <v>70</v>
      </c>
      <c r="B27" t="s">
        <v>54</v>
      </c>
      <c r="C27" t="s">
        <v>149</v>
      </c>
    </row>
    <row r="28" spans="1:3" x14ac:dyDescent="0.25">
      <c r="A28" t="s">
        <v>71</v>
      </c>
      <c r="B28" t="s">
        <v>54</v>
      </c>
      <c r="C28" t="s">
        <v>149</v>
      </c>
    </row>
    <row r="29" spans="1:3" x14ac:dyDescent="0.25">
      <c r="A29" t="s">
        <v>58</v>
      </c>
      <c r="B29" t="s">
        <v>54</v>
      </c>
      <c r="C29" t="s">
        <v>147</v>
      </c>
    </row>
    <row r="30" spans="1:3" x14ac:dyDescent="0.25">
      <c r="A30" t="s">
        <v>157</v>
      </c>
      <c r="B30" t="s">
        <v>54</v>
      </c>
      <c r="C30" t="s">
        <v>148</v>
      </c>
    </row>
    <row r="31" spans="1:3" x14ac:dyDescent="0.25">
      <c r="A31" t="s">
        <v>83</v>
      </c>
      <c r="B31" t="s">
        <v>76</v>
      </c>
      <c r="C31" t="s">
        <v>149</v>
      </c>
    </row>
    <row r="32" spans="1:3" x14ac:dyDescent="0.25">
      <c r="A32" t="s">
        <v>158</v>
      </c>
      <c r="B32" t="s">
        <v>76</v>
      </c>
      <c r="C32" t="s">
        <v>149</v>
      </c>
    </row>
    <row r="33" spans="1:3" x14ac:dyDescent="0.25">
      <c r="A33" t="s">
        <v>159</v>
      </c>
      <c r="B33" t="s">
        <v>76</v>
      </c>
      <c r="C33" t="s">
        <v>149</v>
      </c>
    </row>
    <row r="34" spans="1:3" x14ac:dyDescent="0.25">
      <c r="A34" t="s">
        <v>85</v>
      </c>
      <c r="B34" t="s">
        <v>76</v>
      </c>
      <c r="C34" t="s">
        <v>149</v>
      </c>
    </row>
    <row r="35" spans="1:3" x14ac:dyDescent="0.25">
      <c r="A35" t="s">
        <v>88</v>
      </c>
      <c r="B35" t="s">
        <v>76</v>
      </c>
      <c r="C35" t="s">
        <v>149</v>
      </c>
    </row>
    <row r="36" spans="1:3" x14ac:dyDescent="0.25">
      <c r="A36" t="s">
        <v>192</v>
      </c>
      <c r="B36" t="s">
        <v>76</v>
      </c>
      <c r="C36" t="s">
        <v>149</v>
      </c>
    </row>
    <row r="37" spans="1:3" x14ac:dyDescent="0.25">
      <c r="A37" t="s">
        <v>161</v>
      </c>
      <c r="B37" t="s">
        <v>76</v>
      </c>
      <c r="C37" t="s">
        <v>149</v>
      </c>
    </row>
    <row r="38" spans="1:3" x14ac:dyDescent="0.25">
      <c r="A38" t="s">
        <v>97</v>
      </c>
      <c r="B38" t="s">
        <v>76</v>
      </c>
      <c r="C38" t="s">
        <v>149</v>
      </c>
    </row>
    <row r="39" spans="1:3" x14ac:dyDescent="0.25">
      <c r="A39" t="s">
        <v>99</v>
      </c>
      <c r="B39" t="s">
        <v>76</v>
      </c>
      <c r="C39" t="s">
        <v>149</v>
      </c>
    </row>
    <row r="40" spans="1:3" x14ac:dyDescent="0.25">
      <c r="A40" t="s">
        <v>106</v>
      </c>
      <c r="B40" t="s">
        <v>76</v>
      </c>
      <c r="C40" t="s">
        <v>149</v>
      </c>
    </row>
    <row r="41" spans="1:3" x14ac:dyDescent="0.25">
      <c r="A41" t="s">
        <v>124</v>
      </c>
      <c r="B41" t="s">
        <v>123</v>
      </c>
      <c r="C41" t="s">
        <v>149</v>
      </c>
    </row>
    <row r="42" spans="1:3" x14ac:dyDescent="0.25">
      <c r="A42" t="s">
        <v>126</v>
      </c>
      <c r="B42" t="s">
        <v>123</v>
      </c>
      <c r="C42" t="s">
        <v>149</v>
      </c>
    </row>
    <row r="43" spans="1:3" x14ac:dyDescent="0.25">
      <c r="A43" t="s">
        <v>127</v>
      </c>
      <c r="B43" t="s">
        <v>123</v>
      </c>
      <c r="C43" t="s">
        <v>149</v>
      </c>
    </row>
    <row r="44" spans="1:3" x14ac:dyDescent="0.25">
      <c r="A44" t="s">
        <v>128</v>
      </c>
      <c r="B44" t="s">
        <v>123</v>
      </c>
      <c r="C44" t="s">
        <v>149</v>
      </c>
    </row>
    <row r="45" spans="1:3" x14ac:dyDescent="0.25">
      <c r="A45" t="s">
        <v>166</v>
      </c>
      <c r="B45" t="s">
        <v>129</v>
      </c>
      <c r="C45" t="s">
        <v>149</v>
      </c>
    </row>
    <row r="46" spans="1:3" x14ac:dyDescent="0.25">
      <c r="A46" t="s">
        <v>130</v>
      </c>
      <c r="B46" t="s">
        <v>129</v>
      </c>
      <c r="C46" t="s">
        <v>149</v>
      </c>
    </row>
    <row r="47" spans="1:3" x14ac:dyDescent="0.25">
      <c r="A47" t="s">
        <v>133</v>
      </c>
      <c r="B47" t="s">
        <v>129</v>
      </c>
      <c r="C47" t="s">
        <v>149</v>
      </c>
    </row>
    <row r="48" spans="1:3" x14ac:dyDescent="0.25">
      <c r="A48" t="s">
        <v>193</v>
      </c>
      <c r="B48" t="s">
        <v>129</v>
      </c>
      <c r="C48" t="s">
        <v>149</v>
      </c>
    </row>
    <row r="49" spans="1:3" x14ac:dyDescent="0.25">
      <c r="A49" t="s">
        <v>135</v>
      </c>
      <c r="B49" t="s">
        <v>129</v>
      </c>
      <c r="C49" t="s">
        <v>149</v>
      </c>
    </row>
    <row r="50" spans="1:3" x14ac:dyDescent="0.25">
      <c r="A50" t="s">
        <v>194</v>
      </c>
      <c r="B50" t="s">
        <v>129</v>
      </c>
      <c r="C50" t="s">
        <v>149</v>
      </c>
    </row>
    <row r="51" spans="1:3" x14ac:dyDescent="0.25">
      <c r="A51" t="s">
        <v>138</v>
      </c>
      <c r="B51" t="s">
        <v>129</v>
      </c>
      <c r="C51" t="s">
        <v>149</v>
      </c>
    </row>
    <row r="52" spans="1:3" x14ac:dyDescent="0.25">
      <c r="A52" t="s">
        <v>177</v>
      </c>
      <c r="B52" t="s">
        <v>129</v>
      </c>
      <c r="C52" t="s">
        <v>149</v>
      </c>
    </row>
    <row r="53" spans="1:3" x14ac:dyDescent="0.25">
      <c r="A53" t="s">
        <v>178</v>
      </c>
      <c r="B53" t="s">
        <v>129</v>
      </c>
      <c r="C53" t="s">
        <v>149</v>
      </c>
    </row>
    <row r="54" spans="1:3" x14ac:dyDescent="0.25">
      <c r="A54" t="s">
        <v>179</v>
      </c>
      <c r="B54" t="s">
        <v>129</v>
      </c>
      <c r="C54" t="s">
        <v>149</v>
      </c>
    </row>
    <row r="55" spans="1:3" x14ac:dyDescent="0.25">
      <c r="A55" t="s">
        <v>140</v>
      </c>
      <c r="B55" t="s">
        <v>129</v>
      </c>
      <c r="C55" t="s">
        <v>149</v>
      </c>
    </row>
    <row r="56" spans="1:3" x14ac:dyDescent="0.25">
      <c r="A56" t="s">
        <v>183</v>
      </c>
      <c r="B56" t="s">
        <v>129</v>
      </c>
      <c r="C56" t="s">
        <v>149</v>
      </c>
    </row>
    <row r="57" spans="1:3" x14ac:dyDescent="0.25">
      <c r="A57" t="s">
        <v>141</v>
      </c>
      <c r="B57" t="s">
        <v>129</v>
      </c>
      <c r="C57" t="s">
        <v>149</v>
      </c>
    </row>
    <row r="58" spans="1:3" x14ac:dyDescent="0.25">
      <c r="A58" t="s">
        <v>184</v>
      </c>
      <c r="B58" t="s">
        <v>129</v>
      </c>
      <c r="C58" t="s">
        <v>149</v>
      </c>
    </row>
    <row r="59" spans="1:3" x14ac:dyDescent="0.25">
      <c r="A59" t="s">
        <v>132</v>
      </c>
      <c r="B59" t="s">
        <v>129</v>
      </c>
      <c r="C59" t="s">
        <v>148</v>
      </c>
    </row>
    <row r="60" spans="1:3" x14ac:dyDescent="0.25">
      <c r="A60" t="s">
        <v>170</v>
      </c>
      <c r="B60" t="s">
        <v>129</v>
      </c>
      <c r="C60" t="s">
        <v>148</v>
      </c>
    </row>
    <row r="61" spans="1:3" x14ac:dyDescent="0.25">
      <c r="A61" t="s">
        <v>174</v>
      </c>
      <c r="B61" t="s">
        <v>129</v>
      </c>
      <c r="C61" t="s">
        <v>148</v>
      </c>
    </row>
    <row r="62" spans="1:3" x14ac:dyDescent="0.25">
      <c r="A62" t="s">
        <v>150</v>
      </c>
      <c r="B62" t="s">
        <v>129</v>
      </c>
      <c r="C6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4DE7-A4F0-434A-84E4-1CD2ED881DE0}">
  <sheetPr codeName="Sheet2">
    <tabColor theme="7"/>
  </sheetPr>
  <dimension ref="A1:AN123"/>
  <sheetViews>
    <sheetView showGridLines="0" topLeftCell="A3" zoomScale="80" zoomScaleNormal="80" workbookViewId="0">
      <selection activeCell="B2" sqref="B2"/>
    </sheetView>
  </sheetViews>
  <sheetFormatPr defaultColWidth="11" defaultRowHeight="14.25" x14ac:dyDescent="0.2"/>
  <cols>
    <col min="1" max="1" width="6.125" style="20" customWidth="1"/>
    <col min="2" max="2" width="73.5" style="20" bestFit="1" customWidth="1"/>
    <col min="3" max="3" width="11.125" style="20" bestFit="1" customWidth="1"/>
    <col min="4" max="4" width="13.75" style="20" customWidth="1"/>
    <col min="5" max="5" width="15.125" style="20" customWidth="1"/>
    <col min="6" max="6" width="10.5" style="20" customWidth="1"/>
    <col min="7" max="9" width="11" style="20"/>
    <col min="10" max="10" width="39.75" style="20" customWidth="1"/>
    <col min="11" max="11" width="50.125" style="20" bestFit="1" customWidth="1"/>
    <col min="12" max="16384" width="11" style="20"/>
  </cols>
  <sheetData>
    <row r="1" spans="1:40" s="17" customFormat="1" ht="12.75" x14ac:dyDescent="0.2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40" s="17" customFormat="1" ht="18" x14ac:dyDescent="0.25">
      <c r="B2" s="19" t="s">
        <v>143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40" s="17" customFormat="1" ht="12.75" x14ac:dyDescent="0.2">
      <c r="B3" s="18" t="str">
        <f>[1]InstaPay!B3</f>
        <v>31 December 2025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40" s="17" customFormat="1" ht="12.75" x14ac:dyDescent="0.2">
      <c r="B4" s="17" t="s">
        <v>144</v>
      </c>
      <c r="C4" s="18"/>
      <c r="D4" s="18"/>
      <c r="E4" s="18"/>
      <c r="F4" s="18"/>
      <c r="M4" s="18"/>
      <c r="N4" s="18"/>
      <c r="O4" s="18"/>
      <c r="P4" s="18"/>
      <c r="Q4" s="18"/>
      <c r="R4" s="18"/>
      <c r="S4" s="18"/>
      <c r="AF4" s="18"/>
      <c r="AN4" s="18"/>
    </row>
    <row r="5" spans="1:40" s="17" customFormat="1" ht="12.75" x14ac:dyDescent="0.2">
      <c r="C5" s="18"/>
      <c r="D5" s="18"/>
      <c r="E5" s="18"/>
      <c r="F5" s="18"/>
      <c r="M5" s="18"/>
      <c r="N5" s="18"/>
      <c r="O5" s="18"/>
      <c r="P5" s="18"/>
      <c r="Q5" s="18"/>
      <c r="R5" s="18"/>
      <c r="S5" s="18"/>
      <c r="AF5" s="18"/>
      <c r="AN5" s="18"/>
    </row>
    <row r="6" spans="1:40" x14ac:dyDescent="0.2">
      <c r="A6" s="4"/>
      <c r="B6" s="4"/>
      <c r="C6" s="4"/>
      <c r="D6" s="4"/>
      <c r="E6" s="4"/>
      <c r="F6" s="4"/>
      <c r="G6" s="4"/>
      <c r="H6" s="4"/>
      <c r="J6" s="69"/>
      <c r="K6" s="69"/>
      <c r="L6" s="69"/>
    </row>
    <row r="7" spans="1:40" ht="28.5" x14ac:dyDescent="0.2">
      <c r="A7" s="21"/>
      <c r="B7" s="22" t="s">
        <v>2</v>
      </c>
      <c r="C7" s="23"/>
      <c r="D7" s="22" t="s">
        <v>145</v>
      </c>
      <c r="E7" s="22" t="s">
        <v>146</v>
      </c>
      <c r="F7" s="22" t="s">
        <v>147</v>
      </c>
      <c r="G7" s="22" t="s">
        <v>148</v>
      </c>
      <c r="H7" s="22" t="s">
        <v>19</v>
      </c>
      <c r="J7" s="76"/>
      <c r="K7" s="76"/>
      <c r="L7" s="76"/>
    </row>
    <row r="8" spans="1:40" x14ac:dyDescent="0.2">
      <c r="A8" s="8"/>
      <c r="B8" s="24" t="s">
        <v>149</v>
      </c>
      <c r="C8" s="4"/>
      <c r="D8" s="25" t="s">
        <v>6</v>
      </c>
      <c r="E8" s="26">
        <v>22</v>
      </c>
      <c r="F8" s="26">
        <v>0</v>
      </c>
      <c r="G8" s="26">
        <v>0</v>
      </c>
      <c r="H8" s="26">
        <v>22</v>
      </c>
      <c r="J8" s="66"/>
      <c r="K8" s="66"/>
      <c r="L8" s="66"/>
    </row>
    <row r="9" spans="1:40" x14ac:dyDescent="0.2">
      <c r="A9" s="8">
        <v>1</v>
      </c>
      <c r="B9" s="9" t="s">
        <v>10</v>
      </c>
      <c r="C9" s="4"/>
      <c r="D9" s="25" t="s">
        <v>11</v>
      </c>
      <c r="E9" s="26">
        <v>18</v>
      </c>
      <c r="F9" s="26">
        <v>0</v>
      </c>
      <c r="G9" s="26">
        <v>2</v>
      </c>
      <c r="H9" s="26">
        <v>20</v>
      </c>
      <c r="J9" s="70"/>
      <c r="K9" s="71"/>
      <c r="L9" s="71"/>
    </row>
    <row r="10" spans="1:40" x14ac:dyDescent="0.2">
      <c r="A10" s="8">
        <v>2</v>
      </c>
      <c r="B10" s="9" t="s">
        <v>20</v>
      </c>
      <c r="C10" s="4"/>
      <c r="D10" s="25" t="s">
        <v>13</v>
      </c>
      <c r="E10" s="26">
        <v>14</v>
      </c>
      <c r="F10" s="26">
        <v>0</v>
      </c>
      <c r="G10" s="26">
        <v>4</v>
      </c>
      <c r="H10" s="26">
        <v>18</v>
      </c>
      <c r="J10" s="70"/>
      <c r="K10" s="71"/>
      <c r="L10" s="71"/>
    </row>
    <row r="11" spans="1:40" x14ac:dyDescent="0.2">
      <c r="A11" s="8">
        <v>3</v>
      </c>
      <c r="B11" s="9" t="s">
        <v>18</v>
      </c>
      <c r="C11" s="4"/>
      <c r="D11" s="25" t="s">
        <v>15</v>
      </c>
      <c r="E11" s="26">
        <v>5</v>
      </c>
      <c r="F11" s="26">
        <v>0</v>
      </c>
      <c r="G11" s="26">
        <v>0</v>
      </c>
      <c r="H11" s="26">
        <v>5</v>
      </c>
      <c r="J11" s="70"/>
      <c r="K11" s="71"/>
      <c r="L11" s="71"/>
    </row>
    <row r="12" spans="1:40" x14ac:dyDescent="0.2">
      <c r="A12" s="8">
        <v>4</v>
      </c>
      <c r="B12" s="9" t="s">
        <v>21</v>
      </c>
      <c r="C12" s="4"/>
      <c r="D12" s="25" t="s">
        <v>17</v>
      </c>
      <c r="E12" s="26">
        <v>26</v>
      </c>
      <c r="F12" s="26">
        <v>0</v>
      </c>
      <c r="G12" s="26">
        <v>2</v>
      </c>
      <c r="H12" s="26">
        <v>28</v>
      </c>
      <c r="J12" s="69"/>
      <c r="K12" s="69"/>
      <c r="L12" s="69"/>
    </row>
    <row r="13" spans="1:40" x14ac:dyDescent="0.2">
      <c r="A13" s="8">
        <v>5</v>
      </c>
      <c r="B13" s="9" t="s">
        <v>22</v>
      </c>
      <c r="C13" s="4"/>
      <c r="D13" s="27" t="s">
        <v>19</v>
      </c>
      <c r="E13" s="28">
        <f>SUM(E8:E12)</f>
        <v>85</v>
      </c>
      <c r="F13" s="28">
        <f>SUM(F8:F12)</f>
        <v>0</v>
      </c>
      <c r="G13" s="28">
        <f>SUM(G8:G12)</f>
        <v>8</v>
      </c>
      <c r="H13" s="28">
        <f>SUM(H8:H12)</f>
        <v>93</v>
      </c>
      <c r="J13" s="69"/>
      <c r="K13" s="69"/>
      <c r="L13" s="69"/>
    </row>
    <row r="14" spans="1:40" x14ac:dyDescent="0.2">
      <c r="A14" s="8">
        <v>6</v>
      </c>
      <c r="B14" s="9" t="s">
        <v>24</v>
      </c>
      <c r="C14" s="4"/>
      <c r="D14" s="4"/>
      <c r="E14" s="4"/>
      <c r="F14" s="4"/>
      <c r="G14" s="4"/>
      <c r="H14" s="4"/>
      <c r="J14" s="69"/>
      <c r="K14" s="69"/>
      <c r="L14" s="69"/>
    </row>
    <row r="15" spans="1:40" ht="18" customHeight="1" x14ac:dyDescent="0.2">
      <c r="A15" s="8">
        <v>7</v>
      </c>
      <c r="B15" s="9" t="s">
        <v>25</v>
      </c>
      <c r="C15" s="4"/>
      <c r="D15" s="4"/>
      <c r="G15" s="4"/>
      <c r="H15" s="4"/>
      <c r="J15" s="69"/>
      <c r="K15" s="69"/>
      <c r="L15" s="69"/>
    </row>
    <row r="16" spans="1:40" x14ac:dyDescent="0.2">
      <c r="A16" s="8">
        <v>8</v>
      </c>
      <c r="B16" s="9" t="s">
        <v>27</v>
      </c>
      <c r="C16" s="4"/>
      <c r="D16" s="4"/>
      <c r="H16" s="4"/>
    </row>
    <row r="17" spans="1:8" x14ac:dyDescent="0.2">
      <c r="A17" s="8">
        <v>9</v>
      </c>
      <c r="B17" s="9" t="s">
        <v>29</v>
      </c>
      <c r="C17" s="4"/>
      <c r="G17" s="4"/>
      <c r="H17" s="4"/>
    </row>
    <row r="18" spans="1:8" x14ac:dyDescent="0.2">
      <c r="A18" s="8">
        <v>10</v>
      </c>
      <c r="B18" s="9" t="s">
        <v>30</v>
      </c>
      <c r="C18" s="4"/>
      <c r="G18" s="4"/>
      <c r="H18" s="4"/>
    </row>
    <row r="19" spans="1:8" x14ac:dyDescent="0.2">
      <c r="A19" s="8">
        <v>11</v>
      </c>
      <c r="B19" s="9" t="s">
        <v>35</v>
      </c>
      <c r="C19" s="4"/>
      <c r="D19" s="4"/>
      <c r="E19" s="4"/>
      <c r="F19" s="4"/>
      <c r="G19" s="4"/>
      <c r="H19" s="4"/>
    </row>
    <row r="20" spans="1:8" x14ac:dyDescent="0.2">
      <c r="A20" s="8">
        <v>12</v>
      </c>
      <c r="B20" s="9" t="s">
        <v>36</v>
      </c>
      <c r="C20" s="4"/>
      <c r="D20" s="4"/>
      <c r="E20" s="4"/>
      <c r="F20" s="4"/>
      <c r="G20" s="4"/>
      <c r="H20" s="4"/>
    </row>
    <row r="21" spans="1:8" x14ac:dyDescent="0.2">
      <c r="A21" s="8">
        <v>13</v>
      </c>
      <c r="B21" s="9" t="s">
        <v>38</v>
      </c>
      <c r="C21" s="4"/>
      <c r="D21" s="4"/>
      <c r="E21" s="4"/>
      <c r="F21" s="4"/>
      <c r="G21" s="4"/>
      <c r="H21" s="4"/>
    </row>
    <row r="22" spans="1:8" x14ac:dyDescent="0.2">
      <c r="A22" s="8">
        <v>14</v>
      </c>
      <c r="B22" s="9" t="s">
        <v>41</v>
      </c>
      <c r="C22" s="4"/>
      <c r="D22" s="4"/>
      <c r="E22" s="4"/>
      <c r="F22" s="4"/>
      <c r="G22" s="4"/>
      <c r="H22" s="4"/>
    </row>
    <row r="23" spans="1:8" x14ac:dyDescent="0.2">
      <c r="A23" s="8">
        <v>15</v>
      </c>
      <c r="B23" s="9" t="s">
        <v>42</v>
      </c>
      <c r="C23" s="4"/>
      <c r="D23" s="4"/>
      <c r="E23" s="4"/>
      <c r="F23" s="4"/>
      <c r="G23" s="4"/>
      <c r="H23" s="4"/>
    </row>
    <row r="24" spans="1:8" x14ac:dyDescent="0.2">
      <c r="A24" s="8">
        <v>16</v>
      </c>
      <c r="B24" s="9" t="s">
        <v>43</v>
      </c>
      <c r="C24" s="4"/>
      <c r="D24" s="4"/>
      <c r="E24" s="4"/>
      <c r="F24" s="4"/>
      <c r="G24" s="4"/>
      <c r="H24" s="4"/>
    </row>
    <row r="25" spans="1:8" x14ac:dyDescent="0.2">
      <c r="A25" s="8">
        <v>17</v>
      </c>
      <c r="B25" s="9" t="s">
        <v>44</v>
      </c>
      <c r="C25" s="4"/>
      <c r="D25" s="4"/>
      <c r="E25" s="4"/>
      <c r="F25" s="4"/>
      <c r="G25" s="4"/>
      <c r="H25" s="4"/>
    </row>
    <row r="26" spans="1:8" x14ac:dyDescent="0.2">
      <c r="A26" s="8">
        <v>18</v>
      </c>
      <c r="B26" s="13" t="s">
        <v>45</v>
      </c>
      <c r="C26" s="4"/>
      <c r="D26" s="4"/>
      <c r="E26" s="4"/>
      <c r="F26" s="4"/>
      <c r="G26" s="4"/>
      <c r="H26" s="4"/>
    </row>
    <row r="27" spans="1:8" x14ac:dyDescent="0.2">
      <c r="A27" s="8">
        <v>19</v>
      </c>
      <c r="B27" s="9" t="s">
        <v>47</v>
      </c>
      <c r="C27" s="4"/>
      <c r="D27" s="4"/>
      <c r="E27" s="4"/>
      <c r="F27" s="4"/>
      <c r="G27" s="4"/>
      <c r="H27" s="4"/>
    </row>
    <row r="28" spans="1:8" ht="15.75" customHeight="1" x14ac:dyDescent="0.2">
      <c r="A28" s="8">
        <v>20</v>
      </c>
      <c r="B28" s="9" t="s">
        <v>49</v>
      </c>
      <c r="C28" s="4"/>
      <c r="D28" s="4"/>
      <c r="E28" s="4"/>
      <c r="F28" s="4"/>
      <c r="G28" s="4"/>
      <c r="H28" s="4"/>
    </row>
    <row r="29" spans="1:8" ht="15.75" customHeight="1" x14ac:dyDescent="0.2">
      <c r="A29" s="8">
        <v>21</v>
      </c>
      <c r="B29" s="9" t="s">
        <v>151</v>
      </c>
      <c r="C29" s="4"/>
      <c r="D29" s="4"/>
      <c r="E29" s="4"/>
      <c r="F29" s="4"/>
      <c r="G29" s="4"/>
      <c r="H29" s="4"/>
    </row>
    <row r="30" spans="1:8" x14ac:dyDescent="0.2">
      <c r="A30" s="8">
        <v>22</v>
      </c>
      <c r="B30" s="9" t="s">
        <v>52</v>
      </c>
      <c r="C30" s="4"/>
      <c r="D30" s="4"/>
      <c r="E30" s="4"/>
      <c r="F30" s="4"/>
      <c r="G30" s="4"/>
      <c r="H30" s="4"/>
    </row>
    <row r="31" spans="1:8" x14ac:dyDescent="0.2">
      <c r="A31" s="4"/>
      <c r="B31" s="4"/>
      <c r="C31" s="4"/>
      <c r="D31" s="4"/>
      <c r="E31" s="4"/>
      <c r="F31" s="4"/>
      <c r="G31" s="4"/>
      <c r="H31" s="4"/>
    </row>
    <row r="32" spans="1:8" x14ac:dyDescent="0.2">
      <c r="A32" s="4"/>
      <c r="B32" s="29"/>
      <c r="C32" s="4"/>
      <c r="D32" s="4"/>
      <c r="E32" s="4"/>
      <c r="F32" s="4"/>
      <c r="G32" s="4"/>
      <c r="H32" s="4"/>
    </row>
    <row r="33" spans="1:8" x14ac:dyDescent="0.2">
      <c r="A33" s="14"/>
      <c r="B33" s="15" t="s">
        <v>54</v>
      </c>
      <c r="C33" s="4"/>
      <c r="D33" s="4"/>
      <c r="E33" s="4"/>
      <c r="F33" s="4"/>
      <c r="G33" s="4"/>
      <c r="H33" s="4"/>
    </row>
    <row r="34" spans="1:8" x14ac:dyDescent="0.2">
      <c r="A34" s="8"/>
      <c r="B34" s="24" t="s">
        <v>149</v>
      </c>
      <c r="C34" s="4"/>
      <c r="D34" s="4"/>
      <c r="E34" s="4"/>
      <c r="F34" s="4"/>
      <c r="G34" s="4"/>
      <c r="H34" s="4"/>
    </row>
    <row r="35" spans="1:8" x14ac:dyDescent="0.2">
      <c r="A35" s="8">
        <v>1</v>
      </c>
      <c r="B35" s="9" t="s">
        <v>55</v>
      </c>
      <c r="C35" s="4"/>
      <c r="D35" s="4"/>
      <c r="E35" s="4"/>
      <c r="F35" s="4"/>
      <c r="G35" s="4"/>
      <c r="H35" s="4"/>
    </row>
    <row r="36" spans="1:8" x14ac:dyDescent="0.2">
      <c r="A36" s="8">
        <v>2</v>
      </c>
      <c r="B36" s="9" t="s">
        <v>58</v>
      </c>
      <c r="C36" s="4"/>
      <c r="D36" s="4"/>
      <c r="E36" s="4"/>
      <c r="F36" s="4"/>
      <c r="G36" s="4"/>
      <c r="H36" s="4"/>
    </row>
    <row r="37" spans="1:8" x14ac:dyDescent="0.2">
      <c r="A37" s="8">
        <v>3</v>
      </c>
      <c r="B37" s="9" t="s">
        <v>59</v>
      </c>
      <c r="C37" s="4"/>
      <c r="D37" s="4"/>
      <c r="E37" s="4"/>
      <c r="F37" s="4"/>
      <c r="G37" s="4"/>
      <c r="H37" s="4"/>
    </row>
    <row r="38" spans="1:8" x14ac:dyDescent="0.2">
      <c r="A38" s="8">
        <v>4</v>
      </c>
      <c r="B38" s="13" t="s">
        <v>152</v>
      </c>
      <c r="C38" s="4"/>
      <c r="D38" s="4"/>
      <c r="E38" s="4"/>
      <c r="F38" s="4"/>
      <c r="G38" s="4"/>
      <c r="H38" s="4"/>
    </row>
    <row r="39" spans="1:8" x14ac:dyDescent="0.2">
      <c r="A39" s="8">
        <v>5</v>
      </c>
      <c r="B39" s="9" t="s">
        <v>60</v>
      </c>
      <c r="C39" s="4"/>
      <c r="D39" s="4"/>
      <c r="E39" s="4"/>
      <c r="F39" s="4"/>
      <c r="G39" s="4"/>
      <c r="H39" s="4"/>
    </row>
    <row r="40" spans="1:8" x14ac:dyDescent="0.2">
      <c r="A40" s="8">
        <v>6</v>
      </c>
      <c r="B40" s="9" t="s">
        <v>61</v>
      </c>
      <c r="C40" s="4"/>
      <c r="D40" s="4"/>
      <c r="E40" s="4"/>
      <c r="F40" s="4"/>
      <c r="G40" s="4"/>
      <c r="H40" s="4"/>
    </row>
    <row r="41" spans="1:8" x14ac:dyDescent="0.2">
      <c r="A41" s="8">
        <v>7</v>
      </c>
      <c r="B41" s="9" t="s">
        <v>63</v>
      </c>
      <c r="C41" s="4"/>
      <c r="D41" s="4"/>
      <c r="E41" s="4"/>
      <c r="F41" s="4"/>
      <c r="G41" s="4"/>
      <c r="H41" s="4"/>
    </row>
    <row r="42" spans="1:8" x14ac:dyDescent="0.2">
      <c r="A42" s="8">
        <v>8</v>
      </c>
      <c r="B42" s="9" t="s">
        <v>153</v>
      </c>
      <c r="C42" s="4"/>
      <c r="D42" s="4"/>
      <c r="E42" s="4"/>
      <c r="F42" s="4"/>
      <c r="G42" s="4"/>
      <c r="H42" s="4"/>
    </row>
    <row r="43" spans="1:8" x14ac:dyDescent="0.2">
      <c r="A43" s="8">
        <v>9</v>
      </c>
      <c r="B43" s="9" t="s">
        <v>154</v>
      </c>
      <c r="C43" s="4"/>
      <c r="D43" s="4"/>
      <c r="E43" s="4"/>
      <c r="F43" s="4"/>
      <c r="G43" s="4"/>
      <c r="H43" s="4"/>
    </row>
    <row r="44" spans="1:8" x14ac:dyDescent="0.2">
      <c r="A44" s="8">
        <v>10</v>
      </c>
      <c r="B44" s="9" t="s">
        <v>66</v>
      </c>
      <c r="C44" s="4"/>
      <c r="D44" s="4"/>
      <c r="E44" s="4"/>
      <c r="F44" s="4"/>
      <c r="G44" s="4"/>
      <c r="H44" s="4"/>
    </row>
    <row r="45" spans="1:8" x14ac:dyDescent="0.2">
      <c r="A45" s="8">
        <v>11</v>
      </c>
      <c r="B45" s="9" t="s">
        <v>70</v>
      </c>
      <c r="C45" s="4"/>
      <c r="D45" s="4"/>
      <c r="E45" s="4"/>
      <c r="F45" s="4"/>
      <c r="G45" s="4"/>
      <c r="H45" s="4"/>
    </row>
    <row r="46" spans="1:8" x14ac:dyDescent="0.2">
      <c r="A46" s="8">
        <v>12</v>
      </c>
      <c r="B46" s="9" t="s">
        <v>155</v>
      </c>
      <c r="C46" s="4"/>
      <c r="D46" s="4"/>
      <c r="E46" s="4"/>
      <c r="F46" s="4"/>
      <c r="G46" s="4"/>
      <c r="H46" s="4"/>
    </row>
    <row r="47" spans="1:8" x14ac:dyDescent="0.2">
      <c r="A47" s="8">
        <v>13</v>
      </c>
      <c r="B47" s="9" t="s">
        <v>67</v>
      </c>
      <c r="C47" s="4"/>
      <c r="D47" s="4"/>
      <c r="E47" s="4"/>
      <c r="F47" s="4"/>
      <c r="G47" s="4"/>
      <c r="H47" s="4"/>
    </row>
    <row r="48" spans="1:8" x14ac:dyDescent="0.2">
      <c r="A48" s="8">
        <v>14</v>
      </c>
      <c r="B48" s="9" t="s">
        <v>68</v>
      </c>
      <c r="C48" s="4"/>
      <c r="D48" s="4"/>
      <c r="E48" s="4"/>
      <c r="F48" s="4"/>
      <c r="G48" s="4"/>
      <c r="H48" s="4"/>
    </row>
    <row r="49" spans="1:8" x14ac:dyDescent="0.2">
      <c r="A49" s="8">
        <v>15</v>
      </c>
      <c r="B49" s="9" t="s">
        <v>69</v>
      </c>
      <c r="C49" s="4"/>
      <c r="D49" s="4"/>
      <c r="E49" s="4"/>
      <c r="F49" s="4"/>
      <c r="G49" s="4"/>
      <c r="H49" s="4"/>
    </row>
    <row r="50" spans="1:8" x14ac:dyDescent="0.2">
      <c r="A50" s="8">
        <v>16</v>
      </c>
      <c r="B50" s="9" t="s">
        <v>71</v>
      </c>
      <c r="C50" s="4"/>
      <c r="D50" s="4"/>
      <c r="E50" s="4"/>
      <c r="F50" s="4"/>
      <c r="G50" s="4"/>
      <c r="H50" s="4"/>
    </row>
    <row r="51" spans="1:8" x14ac:dyDescent="0.2">
      <c r="A51" s="8">
        <v>17</v>
      </c>
      <c r="B51" s="9" t="s">
        <v>156</v>
      </c>
      <c r="C51" s="4"/>
      <c r="D51" s="4"/>
      <c r="E51" s="4"/>
      <c r="F51" s="4"/>
      <c r="G51" s="4"/>
      <c r="H51" s="4"/>
    </row>
    <row r="52" spans="1:8" x14ac:dyDescent="0.2">
      <c r="A52" s="8">
        <v>18</v>
      </c>
      <c r="B52" s="9" t="s">
        <v>73</v>
      </c>
      <c r="C52" s="4"/>
      <c r="D52" s="4"/>
      <c r="E52" s="4"/>
      <c r="F52" s="4"/>
      <c r="G52" s="4"/>
      <c r="H52" s="4"/>
    </row>
    <row r="53" spans="1:8" x14ac:dyDescent="0.2">
      <c r="A53" s="8"/>
      <c r="B53" s="9"/>
      <c r="C53" s="4"/>
      <c r="D53" s="4"/>
      <c r="E53" s="4"/>
      <c r="F53" s="4"/>
      <c r="G53" s="4"/>
      <c r="H53" s="4"/>
    </row>
    <row r="54" spans="1:8" x14ac:dyDescent="0.2">
      <c r="A54" s="8"/>
      <c r="B54" s="24" t="s">
        <v>148</v>
      </c>
      <c r="C54" s="4"/>
      <c r="D54" s="4"/>
      <c r="E54" s="4"/>
      <c r="F54" s="4"/>
      <c r="G54" s="4"/>
      <c r="H54" s="4"/>
    </row>
    <row r="55" spans="1:8" x14ac:dyDescent="0.2">
      <c r="A55" s="8">
        <v>19</v>
      </c>
      <c r="B55" s="9" t="s">
        <v>157</v>
      </c>
      <c r="C55" s="4"/>
      <c r="D55" s="4"/>
      <c r="E55" s="4"/>
      <c r="F55" s="4"/>
      <c r="G55" s="4"/>
      <c r="H55" s="4"/>
    </row>
    <row r="56" spans="1:8" x14ac:dyDescent="0.2">
      <c r="A56" s="8">
        <v>20</v>
      </c>
      <c r="B56" s="9" t="s">
        <v>72</v>
      </c>
      <c r="C56" s="4"/>
      <c r="D56" s="4"/>
      <c r="E56" s="4"/>
      <c r="F56" s="4"/>
      <c r="G56" s="4"/>
      <c r="H56" s="4"/>
    </row>
    <row r="57" spans="1:8" x14ac:dyDescent="0.2">
      <c r="A57" s="4"/>
      <c r="B57" s="4"/>
      <c r="C57" s="4"/>
      <c r="D57" s="4"/>
      <c r="E57" s="4"/>
      <c r="F57" s="4"/>
      <c r="G57" s="4"/>
      <c r="H57" s="4"/>
    </row>
    <row r="58" spans="1:8" x14ac:dyDescent="0.2">
      <c r="A58" s="4"/>
      <c r="B58" s="4"/>
      <c r="C58" s="4"/>
      <c r="D58" s="4"/>
      <c r="E58" s="4"/>
      <c r="F58" s="4"/>
      <c r="G58" s="4"/>
      <c r="H58" s="4"/>
    </row>
    <row r="59" spans="1:8" x14ac:dyDescent="0.2">
      <c r="A59" s="14"/>
      <c r="B59" s="15" t="s">
        <v>76</v>
      </c>
      <c r="C59" s="4"/>
      <c r="D59" s="4"/>
      <c r="E59" s="4"/>
      <c r="F59" s="4"/>
      <c r="G59" s="4"/>
      <c r="H59" s="4"/>
    </row>
    <row r="60" spans="1:8" x14ac:dyDescent="0.2">
      <c r="A60" s="8"/>
      <c r="B60" s="24" t="s">
        <v>149</v>
      </c>
      <c r="C60" s="4"/>
      <c r="D60" s="4"/>
      <c r="E60" s="4"/>
      <c r="F60" s="4"/>
      <c r="G60" s="4"/>
      <c r="H60" s="4"/>
    </row>
    <row r="61" spans="1:8" x14ac:dyDescent="0.2">
      <c r="A61" s="8">
        <v>1</v>
      </c>
      <c r="B61" s="9" t="s">
        <v>83</v>
      </c>
      <c r="C61" s="4"/>
      <c r="D61" s="4"/>
      <c r="E61" s="4"/>
      <c r="F61" s="4"/>
      <c r="G61" s="4"/>
      <c r="H61" s="4"/>
    </row>
    <row r="62" spans="1:8" x14ac:dyDescent="0.2">
      <c r="A62" s="8">
        <v>2</v>
      </c>
      <c r="B62" s="9" t="s">
        <v>84</v>
      </c>
      <c r="C62" s="4"/>
      <c r="D62" s="4"/>
      <c r="E62" s="4"/>
      <c r="F62" s="4"/>
      <c r="G62" s="4"/>
      <c r="H62" s="4"/>
    </row>
    <row r="63" spans="1:8" x14ac:dyDescent="0.2">
      <c r="A63" s="8">
        <v>3</v>
      </c>
      <c r="B63" s="9" t="s">
        <v>158</v>
      </c>
      <c r="C63" s="4"/>
      <c r="D63" s="4"/>
      <c r="E63" s="4"/>
      <c r="F63" s="4"/>
      <c r="G63" s="4"/>
      <c r="H63" s="4"/>
    </row>
    <row r="64" spans="1:8" x14ac:dyDescent="0.2">
      <c r="A64" s="8">
        <v>4</v>
      </c>
      <c r="B64" s="9" t="s">
        <v>159</v>
      </c>
      <c r="C64" s="4"/>
      <c r="D64" s="4"/>
      <c r="E64" s="4"/>
      <c r="F64" s="4"/>
      <c r="G64" s="4"/>
      <c r="H64" s="4"/>
    </row>
    <row r="65" spans="1:8" x14ac:dyDescent="0.2">
      <c r="A65" s="8">
        <v>5</v>
      </c>
      <c r="B65" s="9" t="s">
        <v>85</v>
      </c>
      <c r="C65" s="4"/>
      <c r="D65" s="4"/>
      <c r="E65" s="4"/>
      <c r="F65" s="4"/>
      <c r="G65" s="4"/>
      <c r="H65" s="4"/>
    </row>
    <row r="66" spans="1:8" x14ac:dyDescent="0.2">
      <c r="A66" s="8">
        <v>6</v>
      </c>
      <c r="B66" s="9" t="s">
        <v>87</v>
      </c>
      <c r="C66" s="4"/>
      <c r="D66" s="4"/>
      <c r="E66" s="4"/>
      <c r="F66" s="4"/>
      <c r="G66" s="4"/>
      <c r="H66" s="4"/>
    </row>
    <row r="67" spans="1:8" x14ac:dyDescent="0.2">
      <c r="A67" s="8">
        <v>7</v>
      </c>
      <c r="B67" s="9" t="s">
        <v>88</v>
      </c>
      <c r="C67" s="4"/>
      <c r="D67" s="4"/>
      <c r="E67" s="4"/>
      <c r="F67" s="4"/>
      <c r="G67" s="4"/>
      <c r="H67" s="4"/>
    </row>
    <row r="68" spans="1:8" x14ac:dyDescent="0.2">
      <c r="A68" s="8">
        <v>8</v>
      </c>
      <c r="B68" s="9" t="s">
        <v>160</v>
      </c>
      <c r="C68" s="4"/>
      <c r="D68" s="4"/>
      <c r="E68" s="4"/>
      <c r="F68" s="4"/>
      <c r="G68" s="4"/>
      <c r="H68" s="4"/>
    </row>
    <row r="69" spans="1:8" x14ac:dyDescent="0.2">
      <c r="A69" s="8">
        <v>9</v>
      </c>
      <c r="B69" s="9" t="s">
        <v>161</v>
      </c>
      <c r="C69" s="4"/>
      <c r="D69" s="4"/>
      <c r="E69" s="4"/>
      <c r="F69" s="4"/>
      <c r="G69" s="4"/>
      <c r="H69" s="4"/>
    </row>
    <row r="70" spans="1:8" x14ac:dyDescent="0.2">
      <c r="A70" s="8">
        <v>10</v>
      </c>
      <c r="B70" s="9" t="s">
        <v>97</v>
      </c>
      <c r="C70" s="4"/>
      <c r="D70" s="4"/>
      <c r="E70" s="4"/>
      <c r="F70" s="4"/>
      <c r="G70" s="4"/>
      <c r="H70" s="4"/>
    </row>
    <row r="71" spans="1:8" x14ac:dyDescent="0.2">
      <c r="A71" s="8">
        <v>11</v>
      </c>
      <c r="B71" s="9" t="s">
        <v>99</v>
      </c>
      <c r="C71" s="4"/>
      <c r="D71" s="4"/>
      <c r="E71" s="4"/>
      <c r="F71" s="4"/>
      <c r="G71" s="4"/>
      <c r="H71" s="4"/>
    </row>
    <row r="72" spans="1:8" x14ac:dyDescent="0.2">
      <c r="A72" s="8">
        <v>12</v>
      </c>
      <c r="B72" s="9" t="s">
        <v>162</v>
      </c>
      <c r="C72" s="4"/>
      <c r="D72" s="4"/>
      <c r="E72" s="4"/>
      <c r="F72" s="4"/>
      <c r="G72" s="4"/>
      <c r="H72" s="4"/>
    </row>
    <row r="73" spans="1:8" x14ac:dyDescent="0.2">
      <c r="A73" s="8">
        <v>13</v>
      </c>
      <c r="B73" s="9" t="s">
        <v>100</v>
      </c>
      <c r="C73" s="4"/>
      <c r="D73" s="4"/>
      <c r="E73" s="4"/>
      <c r="F73" s="4"/>
      <c r="G73" s="4"/>
      <c r="H73" s="4"/>
    </row>
    <row r="74" spans="1:8" x14ac:dyDescent="0.2">
      <c r="A74" s="8">
        <v>14</v>
      </c>
      <c r="B74" s="9" t="s">
        <v>106</v>
      </c>
      <c r="C74" s="4"/>
      <c r="D74" s="4"/>
      <c r="E74" s="4"/>
      <c r="F74" s="4"/>
      <c r="G74" s="4"/>
      <c r="H74" s="4"/>
    </row>
    <row r="75" spans="1:8" x14ac:dyDescent="0.2">
      <c r="A75" s="8"/>
      <c r="B75" s="9"/>
      <c r="C75" s="4"/>
      <c r="D75" s="4"/>
      <c r="E75" s="4"/>
      <c r="F75" s="4"/>
      <c r="G75" s="4"/>
      <c r="H75" s="4"/>
    </row>
    <row r="76" spans="1:8" x14ac:dyDescent="0.2">
      <c r="A76" s="8"/>
      <c r="B76" s="24" t="s">
        <v>148</v>
      </c>
      <c r="C76" s="4"/>
      <c r="D76" s="4"/>
      <c r="E76" s="4"/>
      <c r="F76" s="4"/>
      <c r="G76" s="4"/>
      <c r="H76" s="4"/>
    </row>
    <row r="77" spans="1:8" x14ac:dyDescent="0.2">
      <c r="A77" s="8">
        <v>15</v>
      </c>
      <c r="B77" s="9" t="s">
        <v>78</v>
      </c>
      <c r="C77" s="4"/>
      <c r="D77" s="4"/>
      <c r="E77" s="4"/>
      <c r="F77" s="4"/>
      <c r="G77" s="4"/>
      <c r="H77" s="4"/>
    </row>
    <row r="78" spans="1:8" x14ac:dyDescent="0.2">
      <c r="A78" s="8">
        <v>16</v>
      </c>
      <c r="B78" s="9" t="s">
        <v>163</v>
      </c>
      <c r="C78" s="4"/>
      <c r="D78" s="4"/>
      <c r="E78" s="4"/>
      <c r="F78" s="4"/>
      <c r="G78" s="4"/>
      <c r="H78" s="4"/>
    </row>
    <row r="79" spans="1:8" x14ac:dyDescent="0.2">
      <c r="A79" s="8">
        <v>17</v>
      </c>
      <c r="B79" s="9" t="s">
        <v>164</v>
      </c>
      <c r="C79" s="4"/>
      <c r="D79" s="4"/>
      <c r="E79" s="4"/>
      <c r="F79" s="4"/>
      <c r="G79" s="4"/>
      <c r="H79" s="4"/>
    </row>
    <row r="80" spans="1:8" ht="15" customHeight="1" x14ac:dyDescent="0.2">
      <c r="A80" s="8">
        <v>18</v>
      </c>
      <c r="B80" s="9" t="s">
        <v>165</v>
      </c>
      <c r="C80" s="4"/>
      <c r="D80" s="4"/>
      <c r="E80" s="4"/>
      <c r="F80" s="4"/>
      <c r="G80" s="4"/>
      <c r="H80" s="4"/>
    </row>
    <row r="81" spans="1:8" ht="17.2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x14ac:dyDescent="0.2">
      <c r="A82" s="4"/>
      <c r="B82" s="4"/>
      <c r="C82" s="4"/>
      <c r="D82" s="4"/>
      <c r="E82" s="4"/>
      <c r="F82" s="4"/>
      <c r="G82" s="4"/>
      <c r="H82" s="4"/>
    </row>
    <row r="83" spans="1:8" x14ac:dyDescent="0.2">
      <c r="A83" s="14"/>
      <c r="B83" s="15" t="s">
        <v>123</v>
      </c>
      <c r="C83" s="4"/>
      <c r="D83" s="4"/>
      <c r="E83" s="4"/>
      <c r="F83" s="4"/>
      <c r="G83" s="4"/>
      <c r="H83" s="4"/>
    </row>
    <row r="84" spans="1:8" x14ac:dyDescent="0.2">
      <c r="A84" s="8"/>
      <c r="B84" s="24" t="s">
        <v>149</v>
      </c>
      <c r="C84" s="4"/>
      <c r="D84" s="4"/>
      <c r="E84" s="4"/>
      <c r="F84" s="4"/>
      <c r="G84" s="4"/>
      <c r="H84" s="4"/>
    </row>
    <row r="85" spans="1:8" x14ac:dyDescent="0.2">
      <c r="A85" s="8">
        <v>1</v>
      </c>
      <c r="B85" s="9" t="s">
        <v>124</v>
      </c>
      <c r="C85" s="4"/>
      <c r="D85" s="4"/>
      <c r="E85" s="4"/>
      <c r="F85" s="4"/>
      <c r="G85" s="4"/>
      <c r="H85" s="4"/>
    </row>
    <row r="86" spans="1:8" x14ac:dyDescent="0.2">
      <c r="A86" s="8">
        <v>2</v>
      </c>
      <c r="B86" s="9" t="s">
        <v>125</v>
      </c>
      <c r="C86" s="4"/>
      <c r="D86" s="4"/>
      <c r="E86" s="4"/>
      <c r="F86" s="4"/>
      <c r="G86" s="4"/>
      <c r="H86" s="4"/>
    </row>
    <row r="87" spans="1:8" x14ac:dyDescent="0.2">
      <c r="A87" s="8">
        <v>3</v>
      </c>
      <c r="B87" s="9" t="s">
        <v>126</v>
      </c>
      <c r="C87" s="4"/>
      <c r="D87" s="4"/>
      <c r="E87" s="4"/>
      <c r="F87" s="4"/>
      <c r="G87" s="4"/>
      <c r="H87" s="4"/>
    </row>
    <row r="88" spans="1:8" x14ac:dyDescent="0.2">
      <c r="A88" s="8">
        <v>4</v>
      </c>
      <c r="B88" s="9" t="s">
        <v>127</v>
      </c>
      <c r="C88" s="4"/>
      <c r="D88" s="4"/>
      <c r="E88" s="4"/>
      <c r="F88" s="4"/>
      <c r="G88" s="4"/>
      <c r="H88" s="4"/>
    </row>
    <row r="89" spans="1:8" x14ac:dyDescent="0.2">
      <c r="A89" s="8">
        <v>5</v>
      </c>
      <c r="B89" s="9" t="s">
        <v>128</v>
      </c>
      <c r="C89" s="4"/>
      <c r="D89" s="4"/>
      <c r="E89" s="4"/>
      <c r="F89" s="4"/>
      <c r="G89" s="4"/>
      <c r="H89" s="4"/>
    </row>
    <row r="90" spans="1:8" x14ac:dyDescent="0.2">
      <c r="A90" s="4"/>
      <c r="B90" s="4"/>
      <c r="C90" s="4"/>
      <c r="D90" s="4"/>
      <c r="E90" s="4"/>
      <c r="F90" s="4"/>
      <c r="G90" s="4"/>
      <c r="H90" s="4"/>
    </row>
    <row r="91" spans="1:8" x14ac:dyDescent="0.2">
      <c r="A91" s="4"/>
      <c r="B91" s="4"/>
      <c r="C91" s="4"/>
      <c r="D91" s="4"/>
      <c r="E91" s="4"/>
      <c r="F91" s="4"/>
      <c r="G91" s="4"/>
      <c r="H91" s="4"/>
    </row>
    <row r="92" spans="1:8" x14ac:dyDescent="0.2">
      <c r="A92" s="16"/>
      <c r="B92" s="15" t="s">
        <v>129</v>
      </c>
      <c r="C92" s="4"/>
      <c r="D92" s="4"/>
      <c r="E92" s="4"/>
      <c r="F92" s="4"/>
      <c r="G92" s="4"/>
      <c r="H92" s="4"/>
    </row>
    <row r="93" spans="1:8" x14ac:dyDescent="0.2">
      <c r="A93" s="8"/>
      <c r="B93" s="24" t="s">
        <v>149</v>
      </c>
      <c r="C93" s="4"/>
      <c r="D93" s="4"/>
      <c r="E93" s="4"/>
      <c r="F93" s="4"/>
      <c r="G93" s="4"/>
      <c r="H93" s="4"/>
    </row>
    <row r="94" spans="1:8" x14ac:dyDescent="0.2">
      <c r="A94" s="8">
        <v>1</v>
      </c>
      <c r="B94" s="9" t="s">
        <v>166</v>
      </c>
      <c r="C94" s="4"/>
      <c r="D94" s="4"/>
      <c r="E94" s="4"/>
      <c r="F94" s="4"/>
      <c r="G94" s="4"/>
      <c r="H94" s="4"/>
    </row>
    <row r="95" spans="1:8" x14ac:dyDescent="0.2">
      <c r="A95" s="8">
        <v>2</v>
      </c>
      <c r="B95" s="9" t="s">
        <v>130</v>
      </c>
      <c r="C95" s="4"/>
      <c r="D95" s="4"/>
      <c r="E95" s="4"/>
      <c r="F95" s="4"/>
      <c r="G95" s="4"/>
      <c r="H95" s="4"/>
    </row>
    <row r="96" spans="1:8" x14ac:dyDescent="0.2">
      <c r="A96" s="8">
        <v>3</v>
      </c>
      <c r="B96" s="9" t="s">
        <v>167</v>
      </c>
      <c r="C96" s="4"/>
      <c r="D96" s="4"/>
      <c r="E96" s="4"/>
      <c r="F96" s="4"/>
      <c r="G96" s="4"/>
      <c r="H96" s="4"/>
    </row>
    <row r="97" spans="1:8" x14ac:dyDescent="0.2">
      <c r="A97" s="8">
        <v>4</v>
      </c>
      <c r="B97" s="9" t="s">
        <v>168</v>
      </c>
      <c r="C97" s="4"/>
      <c r="D97" s="4"/>
      <c r="E97" s="4"/>
      <c r="F97" s="4"/>
      <c r="G97" s="4"/>
      <c r="H97" s="4"/>
    </row>
    <row r="98" spans="1:8" x14ac:dyDescent="0.2">
      <c r="A98" s="8">
        <v>5</v>
      </c>
      <c r="B98" s="9" t="s">
        <v>169</v>
      </c>
      <c r="C98" s="4"/>
      <c r="D98" s="4"/>
      <c r="E98" s="4"/>
      <c r="F98" s="4"/>
      <c r="G98" s="4"/>
      <c r="H98" s="4"/>
    </row>
    <row r="99" spans="1:8" x14ac:dyDescent="0.2">
      <c r="A99" s="8">
        <v>6</v>
      </c>
      <c r="B99" s="9" t="s">
        <v>133</v>
      </c>
      <c r="C99" s="4"/>
      <c r="D99" s="4"/>
      <c r="E99" s="4"/>
      <c r="F99" s="4"/>
      <c r="G99" s="4"/>
      <c r="H99" s="4"/>
    </row>
    <row r="100" spans="1:8" x14ac:dyDescent="0.2">
      <c r="A100" s="8">
        <v>7</v>
      </c>
      <c r="B100" s="9" t="s">
        <v>170</v>
      </c>
      <c r="C100" s="4"/>
      <c r="D100" s="4"/>
      <c r="E100" s="4"/>
      <c r="F100" s="4"/>
      <c r="G100" s="4"/>
      <c r="H100" s="4"/>
    </row>
    <row r="101" spans="1:8" x14ac:dyDescent="0.2">
      <c r="A101" s="8">
        <v>8</v>
      </c>
      <c r="B101" s="9" t="s">
        <v>171</v>
      </c>
      <c r="C101" s="4"/>
      <c r="D101" s="4"/>
      <c r="E101" s="4"/>
      <c r="F101" s="4"/>
      <c r="G101" s="4"/>
      <c r="H101" s="4"/>
    </row>
    <row r="102" spans="1:8" x14ac:dyDescent="0.2">
      <c r="A102" s="8">
        <v>9</v>
      </c>
      <c r="B102" s="9" t="s">
        <v>172</v>
      </c>
      <c r="C102" s="4"/>
      <c r="D102" s="4"/>
      <c r="E102" s="4"/>
      <c r="F102" s="4"/>
      <c r="G102" s="4"/>
      <c r="H102" s="4"/>
    </row>
    <row r="103" spans="1:8" x14ac:dyDescent="0.2">
      <c r="A103" s="8">
        <v>10</v>
      </c>
      <c r="B103" s="9" t="s">
        <v>135</v>
      </c>
      <c r="C103" s="4"/>
      <c r="D103" s="4"/>
      <c r="E103" s="4"/>
      <c r="F103" s="4"/>
      <c r="G103" s="4"/>
      <c r="H103" s="4"/>
    </row>
    <row r="104" spans="1:8" x14ac:dyDescent="0.2">
      <c r="A104" s="8">
        <v>11</v>
      </c>
      <c r="B104" s="9" t="s">
        <v>173</v>
      </c>
      <c r="C104" s="4"/>
      <c r="D104" s="4"/>
      <c r="E104" s="4"/>
      <c r="F104" s="4"/>
      <c r="G104" s="4"/>
      <c r="H104" s="4"/>
    </row>
    <row r="105" spans="1:8" x14ac:dyDescent="0.2">
      <c r="A105" s="8">
        <v>12</v>
      </c>
      <c r="B105" s="9" t="s">
        <v>174</v>
      </c>
      <c r="C105" s="4"/>
      <c r="D105" s="4"/>
      <c r="E105" s="4"/>
      <c r="F105" s="4"/>
      <c r="G105" s="4"/>
      <c r="H105" s="4"/>
    </row>
    <row r="106" spans="1:8" x14ac:dyDescent="0.2">
      <c r="A106" s="8">
        <v>13</v>
      </c>
      <c r="B106" s="9" t="s">
        <v>175</v>
      </c>
      <c r="C106" s="4"/>
      <c r="D106" s="4"/>
      <c r="E106" s="4"/>
      <c r="F106" s="4"/>
      <c r="G106" s="4"/>
      <c r="H106" s="4"/>
    </row>
    <row r="107" spans="1:8" x14ac:dyDescent="0.2">
      <c r="A107" s="8">
        <v>14</v>
      </c>
      <c r="B107" s="9" t="s">
        <v>176</v>
      </c>
      <c r="C107" s="4"/>
      <c r="D107" s="4"/>
      <c r="E107" s="4"/>
      <c r="F107" s="4"/>
      <c r="G107" s="4"/>
      <c r="H107" s="4"/>
    </row>
    <row r="108" spans="1:8" x14ac:dyDescent="0.2">
      <c r="A108" s="8">
        <v>15</v>
      </c>
      <c r="B108" s="9" t="s">
        <v>137</v>
      </c>
      <c r="C108" s="4"/>
      <c r="D108" s="4"/>
      <c r="E108" s="4"/>
      <c r="F108" s="4"/>
      <c r="G108" s="4"/>
      <c r="H108" s="4"/>
    </row>
    <row r="109" spans="1:8" x14ac:dyDescent="0.2">
      <c r="A109" s="8">
        <v>16</v>
      </c>
      <c r="B109" s="9" t="s">
        <v>138</v>
      </c>
      <c r="C109" s="4"/>
      <c r="D109" s="4"/>
      <c r="E109" s="4"/>
      <c r="F109" s="4"/>
      <c r="G109" s="4"/>
      <c r="H109" s="4"/>
    </row>
    <row r="110" spans="1:8" x14ac:dyDescent="0.2">
      <c r="A110" s="8">
        <v>17</v>
      </c>
      <c r="B110" s="9" t="s">
        <v>177</v>
      </c>
      <c r="C110" s="4"/>
      <c r="D110" s="4"/>
      <c r="E110" s="4"/>
      <c r="F110" s="4"/>
      <c r="G110" s="4"/>
      <c r="H110" s="4"/>
    </row>
    <row r="111" spans="1:8" x14ac:dyDescent="0.2">
      <c r="A111" s="8">
        <v>18</v>
      </c>
      <c r="B111" s="9" t="s">
        <v>178</v>
      </c>
      <c r="C111" s="4"/>
      <c r="D111" s="4"/>
      <c r="E111" s="4"/>
      <c r="F111" s="4"/>
      <c r="G111" s="4"/>
      <c r="H111" s="4"/>
    </row>
    <row r="112" spans="1:8" x14ac:dyDescent="0.2">
      <c r="A112" s="8">
        <v>19</v>
      </c>
      <c r="B112" s="9" t="s">
        <v>179</v>
      </c>
      <c r="C112" s="4"/>
      <c r="D112" s="4"/>
      <c r="E112" s="4"/>
      <c r="F112" s="4"/>
      <c r="G112" s="4"/>
      <c r="H112" s="4"/>
    </row>
    <row r="113" spans="1:8" x14ac:dyDescent="0.2">
      <c r="A113" s="8">
        <v>20</v>
      </c>
      <c r="B113" s="9" t="s">
        <v>180</v>
      </c>
      <c r="C113" s="4"/>
      <c r="D113" s="4"/>
      <c r="E113" s="4"/>
      <c r="F113" s="4"/>
      <c r="G113" s="4"/>
      <c r="H113" s="4"/>
    </row>
    <row r="114" spans="1:8" x14ac:dyDescent="0.2">
      <c r="A114" s="8">
        <v>21</v>
      </c>
      <c r="B114" s="9" t="s">
        <v>181</v>
      </c>
      <c r="C114" s="4"/>
      <c r="D114" s="4"/>
      <c r="E114" s="4"/>
      <c r="F114" s="4"/>
      <c r="G114" s="4"/>
      <c r="H114" s="4"/>
    </row>
    <row r="115" spans="1:8" x14ac:dyDescent="0.2">
      <c r="A115" s="8">
        <v>22</v>
      </c>
      <c r="B115" s="30" t="s">
        <v>182</v>
      </c>
      <c r="C115" s="4"/>
      <c r="D115" s="4"/>
      <c r="E115" s="4"/>
      <c r="F115" s="4"/>
      <c r="G115" s="4"/>
      <c r="H115" s="4"/>
    </row>
    <row r="116" spans="1:8" x14ac:dyDescent="0.2">
      <c r="A116" s="8">
        <v>23</v>
      </c>
      <c r="B116" s="9" t="s">
        <v>183</v>
      </c>
      <c r="C116" s="4"/>
      <c r="D116" s="4"/>
      <c r="E116" s="4"/>
      <c r="F116" s="4"/>
      <c r="G116" s="4"/>
      <c r="H116" s="4"/>
    </row>
    <row r="117" spans="1:8" x14ac:dyDescent="0.2">
      <c r="A117" s="8">
        <v>24</v>
      </c>
      <c r="B117" s="9" t="s">
        <v>141</v>
      </c>
      <c r="C117" s="4"/>
      <c r="D117" s="4"/>
      <c r="E117" s="4"/>
      <c r="F117" s="4"/>
      <c r="G117" s="4"/>
      <c r="H117" s="4"/>
    </row>
    <row r="118" spans="1:8" x14ac:dyDescent="0.2">
      <c r="A118" s="8">
        <v>25</v>
      </c>
      <c r="B118" s="9" t="s">
        <v>142</v>
      </c>
      <c r="C118" s="4"/>
      <c r="D118" s="4"/>
      <c r="E118" s="4"/>
      <c r="F118" s="4"/>
      <c r="G118" s="4"/>
      <c r="H118" s="4"/>
    </row>
    <row r="119" spans="1:8" x14ac:dyDescent="0.2">
      <c r="A119" s="8">
        <v>26</v>
      </c>
      <c r="B119" s="9" t="s">
        <v>184</v>
      </c>
      <c r="C119" s="4"/>
      <c r="D119" s="4"/>
      <c r="E119" s="4"/>
      <c r="F119" s="4"/>
      <c r="G119" s="4"/>
      <c r="H119" s="4"/>
    </row>
    <row r="120" spans="1:8" x14ac:dyDescent="0.2">
      <c r="A120" s="8"/>
      <c r="B120" s="13"/>
      <c r="C120" s="4"/>
      <c r="D120" s="4"/>
      <c r="E120" s="4"/>
      <c r="F120" s="4"/>
      <c r="G120" s="4"/>
      <c r="H120" s="4"/>
    </row>
    <row r="121" spans="1:8" x14ac:dyDescent="0.2">
      <c r="A121" s="8"/>
      <c r="B121" s="24" t="s">
        <v>148</v>
      </c>
      <c r="C121" s="4"/>
      <c r="D121" s="4"/>
      <c r="E121" s="4"/>
      <c r="F121" s="4"/>
      <c r="G121" s="4"/>
      <c r="H121" s="4"/>
    </row>
    <row r="122" spans="1:8" x14ac:dyDescent="0.2">
      <c r="A122" s="8">
        <v>27</v>
      </c>
      <c r="B122" s="9" t="s">
        <v>185</v>
      </c>
    </row>
    <row r="123" spans="1:8" x14ac:dyDescent="0.2">
      <c r="A123" s="8">
        <v>28</v>
      </c>
      <c r="B123" s="30" t="s">
        <v>150</v>
      </c>
      <c r="C123" s="4"/>
      <c r="D123" s="4"/>
      <c r="E123" s="4"/>
      <c r="F123" s="4"/>
      <c r="G123" s="4"/>
      <c r="H123" s="4"/>
    </row>
  </sheetData>
  <mergeCells count="1">
    <mergeCell ref="J7:L7"/>
  </mergeCells>
  <pageMargins left="0.75" right="0.75" top="1" bottom="1" header="0.5" footer="0.5"/>
  <pageSetup orientation="portrait" horizontalDpi="4294967292" verticalDpi="4294967292" r:id="rId1"/>
  <headerFooter>
    <oddFooter>&amp;L_x000D_&amp;1#&amp;"Calibri"&amp;11&amp;K000000 Classification: GENERAL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6CFF-45A5-4786-A91B-1A39E5F29D07}">
  <sheetPr codeName="Sheet3">
    <tabColor theme="7"/>
  </sheetPr>
  <dimension ref="A1:AN156"/>
  <sheetViews>
    <sheetView showGridLines="0" topLeftCell="A111" zoomScaleNormal="100" workbookViewId="0">
      <selection activeCell="B2" sqref="B2"/>
    </sheetView>
  </sheetViews>
  <sheetFormatPr defaultColWidth="11" defaultRowHeight="14.25" x14ac:dyDescent="0.2"/>
  <cols>
    <col min="1" max="1" width="4.375" style="5" customWidth="1"/>
    <col min="2" max="2" width="73.5" style="5" bestFit="1" customWidth="1"/>
    <col min="3" max="3" width="11.125" style="5" bestFit="1" customWidth="1"/>
    <col min="4" max="4" width="15.625" style="5" customWidth="1"/>
    <col min="5" max="6" width="11" style="5"/>
    <col min="7" max="7" width="37" style="5" customWidth="1"/>
    <col min="8" max="9" width="17.125" style="5" customWidth="1"/>
    <col min="10" max="16384" width="11" style="5"/>
  </cols>
  <sheetData>
    <row r="1" spans="1:40" s="1" customFormat="1" ht="12.75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40" s="1" customFormat="1" ht="18.75" x14ac:dyDescent="0.25"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40" s="1" customFormat="1" ht="12.75" x14ac:dyDescent="0.2">
      <c r="B3" s="80">
        <f>[1]PESONet!B9</f>
        <v>46022</v>
      </c>
      <c r="C3" s="8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40" s="1" customFormat="1" ht="12.75" x14ac:dyDescent="0.2">
      <c r="B4" s="1" t="s">
        <v>1</v>
      </c>
      <c r="C4" s="2"/>
      <c r="D4" s="2"/>
      <c r="E4" s="2"/>
      <c r="F4" s="2"/>
      <c r="M4" s="2"/>
      <c r="N4" s="2"/>
      <c r="O4" s="2"/>
      <c r="P4" s="2"/>
      <c r="Q4" s="2"/>
      <c r="R4" s="2"/>
      <c r="S4" s="2"/>
      <c r="AF4" s="2"/>
      <c r="AN4" s="2"/>
    </row>
    <row r="5" spans="1:40" s="1" customFormat="1" ht="12.75" x14ac:dyDescent="0.2">
      <c r="C5" s="2"/>
      <c r="D5" s="2"/>
      <c r="E5" s="2"/>
      <c r="F5" s="2"/>
      <c r="M5" s="2"/>
      <c r="N5" s="2"/>
      <c r="O5" s="2"/>
      <c r="P5" s="2"/>
      <c r="Q5" s="2"/>
      <c r="R5" s="2"/>
      <c r="S5" s="2"/>
      <c r="AF5" s="2"/>
      <c r="AN5" s="2"/>
    </row>
    <row r="6" spans="1:40" x14ac:dyDescent="0.2">
      <c r="A6" s="79"/>
      <c r="B6" s="79"/>
      <c r="C6" s="4"/>
      <c r="D6" s="4"/>
      <c r="E6" s="4"/>
      <c r="F6" s="4"/>
      <c r="G6" s="4"/>
      <c r="H6" s="4"/>
      <c r="I6" s="4"/>
    </row>
    <row r="7" spans="1:40" x14ac:dyDescent="0.2">
      <c r="A7" s="6"/>
      <c r="B7" s="7" t="s">
        <v>2</v>
      </c>
      <c r="C7" s="4"/>
      <c r="D7" s="81" t="s">
        <v>3</v>
      </c>
      <c r="E7" s="82"/>
      <c r="F7" s="4"/>
      <c r="G7" s="76"/>
      <c r="H7" s="76"/>
      <c r="I7" s="76"/>
    </row>
    <row r="8" spans="1:40" x14ac:dyDescent="0.2">
      <c r="A8" s="8">
        <v>1</v>
      </c>
      <c r="B8" s="9" t="s">
        <v>5</v>
      </c>
      <c r="C8" s="4"/>
      <c r="D8" s="9" t="s">
        <v>6</v>
      </c>
      <c r="E8" s="8">
        <v>40</v>
      </c>
      <c r="F8" s="4"/>
      <c r="G8" s="66"/>
      <c r="H8" s="66"/>
      <c r="I8" s="66"/>
    </row>
    <row r="9" spans="1:40" x14ac:dyDescent="0.2">
      <c r="A9" s="8">
        <v>2</v>
      </c>
      <c r="B9" s="9" t="s">
        <v>10</v>
      </c>
      <c r="C9" s="4"/>
      <c r="D9" s="9" t="s">
        <v>11</v>
      </c>
      <c r="E9" s="8">
        <v>20</v>
      </c>
      <c r="F9" s="4"/>
      <c r="G9" s="67"/>
      <c r="H9" s="68"/>
      <c r="I9" s="68"/>
    </row>
    <row r="10" spans="1:40" x14ac:dyDescent="0.2">
      <c r="A10" s="8">
        <v>3</v>
      </c>
      <c r="B10" s="9" t="s">
        <v>12</v>
      </c>
      <c r="C10" s="4"/>
      <c r="D10" s="9" t="s">
        <v>13</v>
      </c>
      <c r="E10" s="8">
        <v>46</v>
      </c>
      <c r="F10" s="4"/>
      <c r="G10" s="10"/>
      <c r="H10" s="10"/>
      <c r="I10" s="10"/>
    </row>
    <row r="11" spans="1:40" x14ac:dyDescent="0.2">
      <c r="A11" s="8">
        <v>4</v>
      </c>
      <c r="B11" s="9" t="s">
        <v>14</v>
      </c>
      <c r="C11" s="4"/>
      <c r="D11" s="9" t="s">
        <v>15</v>
      </c>
      <c r="E11" s="8">
        <v>5</v>
      </c>
      <c r="F11" s="4"/>
      <c r="G11" s="4"/>
      <c r="H11" s="4"/>
      <c r="I11" s="4"/>
    </row>
    <row r="12" spans="1:40" x14ac:dyDescent="0.2">
      <c r="A12" s="8">
        <v>5</v>
      </c>
      <c r="B12" s="9" t="s">
        <v>16</v>
      </c>
      <c r="C12" s="4"/>
      <c r="D12" s="9" t="s">
        <v>17</v>
      </c>
      <c r="E12" s="8">
        <v>13</v>
      </c>
      <c r="F12" s="4"/>
      <c r="G12" s="4"/>
      <c r="H12" s="4"/>
      <c r="I12" s="4"/>
    </row>
    <row r="13" spans="1:40" x14ac:dyDescent="0.2">
      <c r="A13" s="8">
        <v>6</v>
      </c>
      <c r="B13" s="9" t="s">
        <v>18</v>
      </c>
      <c r="C13" s="4"/>
      <c r="D13" s="11" t="s">
        <v>19</v>
      </c>
      <c r="E13" s="12">
        <f>SUM(E8:E12)</f>
        <v>124</v>
      </c>
      <c r="F13" s="4"/>
      <c r="G13" s="4"/>
      <c r="H13" s="4"/>
      <c r="I13" s="4"/>
    </row>
    <row r="14" spans="1:40" x14ac:dyDescent="0.2">
      <c r="A14" s="8">
        <v>7</v>
      </c>
      <c r="B14" s="9" t="s">
        <v>20</v>
      </c>
      <c r="C14" s="4"/>
      <c r="D14" s="4"/>
      <c r="E14" s="4"/>
      <c r="F14" s="4"/>
      <c r="G14" s="4"/>
      <c r="H14" s="4"/>
      <c r="I14" s="4"/>
    </row>
    <row r="15" spans="1:40" x14ac:dyDescent="0.2">
      <c r="A15" s="8">
        <v>8</v>
      </c>
      <c r="B15" s="9" t="s">
        <v>21</v>
      </c>
      <c r="C15" s="4"/>
      <c r="D15" s="4"/>
      <c r="E15" s="4"/>
      <c r="F15" s="4"/>
      <c r="G15" s="4"/>
      <c r="H15" s="4"/>
      <c r="I15" s="4"/>
    </row>
    <row r="16" spans="1:40" x14ac:dyDescent="0.2">
      <c r="A16" s="8">
        <v>9</v>
      </c>
      <c r="B16" s="9" t="s">
        <v>22</v>
      </c>
      <c r="C16" s="4"/>
      <c r="D16" s="4"/>
      <c r="E16" s="4"/>
      <c r="F16" s="4"/>
      <c r="G16" s="4"/>
      <c r="H16" s="4"/>
      <c r="I16" s="4"/>
    </row>
    <row r="17" spans="1:9" x14ac:dyDescent="0.2">
      <c r="A17" s="8">
        <v>10</v>
      </c>
      <c r="B17" s="9" t="s">
        <v>23</v>
      </c>
      <c r="C17" s="4"/>
      <c r="D17" s="4"/>
      <c r="E17" s="4"/>
      <c r="F17" s="4"/>
      <c r="G17" s="4"/>
      <c r="H17" s="4"/>
      <c r="I17" s="4"/>
    </row>
    <row r="18" spans="1:9" x14ac:dyDescent="0.2">
      <c r="A18" s="8">
        <v>11</v>
      </c>
      <c r="B18" s="9" t="s">
        <v>24</v>
      </c>
      <c r="C18" s="4"/>
      <c r="D18" s="4"/>
      <c r="E18" s="4"/>
      <c r="F18" s="4"/>
      <c r="G18" s="4"/>
      <c r="H18" s="4"/>
      <c r="I18" s="4"/>
    </row>
    <row r="19" spans="1:9" x14ac:dyDescent="0.2">
      <c r="A19" s="8">
        <v>12</v>
      </c>
      <c r="B19" s="9" t="s">
        <v>25</v>
      </c>
      <c r="C19" s="4"/>
      <c r="D19" s="4"/>
      <c r="E19" s="4"/>
      <c r="F19" s="4"/>
      <c r="G19" s="4"/>
      <c r="H19" s="4"/>
      <c r="I19" s="4"/>
    </row>
    <row r="20" spans="1:9" x14ac:dyDescent="0.2">
      <c r="A20" s="8">
        <v>13</v>
      </c>
      <c r="B20" s="9" t="s">
        <v>26</v>
      </c>
      <c r="C20" s="4"/>
      <c r="D20" s="4"/>
      <c r="E20" s="4"/>
      <c r="F20" s="4"/>
      <c r="G20" s="4"/>
      <c r="H20" s="4"/>
      <c r="I20" s="4"/>
    </row>
    <row r="21" spans="1:9" x14ac:dyDescent="0.2">
      <c r="A21" s="8">
        <v>14</v>
      </c>
      <c r="B21" s="9" t="s">
        <v>27</v>
      </c>
      <c r="C21" s="4"/>
      <c r="D21" s="4"/>
      <c r="E21" s="4"/>
      <c r="F21" s="4"/>
      <c r="G21" s="4"/>
      <c r="H21" s="4"/>
      <c r="I21" s="4"/>
    </row>
    <row r="22" spans="1:9" x14ac:dyDescent="0.2">
      <c r="A22" s="8">
        <v>15</v>
      </c>
      <c r="B22" s="9" t="s">
        <v>28</v>
      </c>
      <c r="C22" s="4"/>
      <c r="D22" s="4"/>
      <c r="E22" s="4"/>
      <c r="F22" s="4"/>
      <c r="G22" s="4"/>
      <c r="H22" s="4"/>
      <c r="I22" s="4"/>
    </row>
    <row r="23" spans="1:9" x14ac:dyDescent="0.2">
      <c r="A23" s="8">
        <v>16</v>
      </c>
      <c r="B23" s="9" t="s">
        <v>29</v>
      </c>
      <c r="C23" s="4"/>
      <c r="D23" s="4"/>
      <c r="E23" s="4"/>
      <c r="F23" s="4"/>
      <c r="G23" s="4"/>
      <c r="H23" s="4"/>
      <c r="I23" s="4"/>
    </row>
    <row r="24" spans="1:9" x14ac:dyDescent="0.2">
      <c r="A24" s="8">
        <v>17</v>
      </c>
      <c r="B24" s="9" t="s">
        <v>30</v>
      </c>
      <c r="C24" s="4"/>
      <c r="D24" s="4"/>
      <c r="E24" s="4"/>
      <c r="F24" s="4"/>
      <c r="G24" s="4"/>
      <c r="H24" s="4"/>
      <c r="I24" s="4"/>
    </row>
    <row r="25" spans="1:9" ht="18" customHeight="1" x14ac:dyDescent="0.2">
      <c r="A25" s="8">
        <v>18</v>
      </c>
      <c r="B25" s="13" t="s">
        <v>31</v>
      </c>
      <c r="C25" s="4"/>
      <c r="D25" s="4"/>
      <c r="E25" s="4"/>
      <c r="F25" s="4"/>
      <c r="G25" s="4"/>
      <c r="H25" s="4"/>
      <c r="I25" s="4"/>
    </row>
    <row r="26" spans="1:9" x14ac:dyDescent="0.2">
      <c r="A26" s="8">
        <v>19</v>
      </c>
      <c r="B26" s="9" t="s">
        <v>32</v>
      </c>
      <c r="C26" s="4"/>
      <c r="D26" s="4"/>
      <c r="E26" s="4"/>
      <c r="F26" s="4"/>
      <c r="G26" s="4"/>
      <c r="H26" s="4"/>
      <c r="I26" s="4"/>
    </row>
    <row r="27" spans="1:9" x14ac:dyDescent="0.2">
      <c r="A27" s="8">
        <v>20</v>
      </c>
      <c r="B27" s="9" t="s">
        <v>33</v>
      </c>
      <c r="C27" s="4"/>
      <c r="D27" s="4"/>
      <c r="E27" s="4"/>
      <c r="F27" s="4"/>
      <c r="G27" s="4"/>
      <c r="H27" s="4"/>
      <c r="I27" s="4"/>
    </row>
    <row r="28" spans="1:9" ht="15.75" customHeight="1" x14ac:dyDescent="0.2">
      <c r="A28" s="8">
        <v>21</v>
      </c>
      <c r="B28" s="9" t="s">
        <v>34</v>
      </c>
      <c r="C28" s="4"/>
      <c r="D28" s="4"/>
      <c r="E28" s="4"/>
      <c r="F28" s="4"/>
      <c r="G28" s="4"/>
      <c r="H28" s="4"/>
      <c r="I28" s="4"/>
    </row>
    <row r="29" spans="1:9" x14ac:dyDescent="0.2">
      <c r="A29" s="8">
        <v>22</v>
      </c>
      <c r="B29" s="9" t="s">
        <v>35</v>
      </c>
      <c r="C29" s="4"/>
      <c r="D29" s="4"/>
      <c r="E29" s="4"/>
      <c r="F29" s="4"/>
      <c r="G29" s="4"/>
      <c r="H29" s="4"/>
      <c r="I29" s="4"/>
    </row>
    <row r="30" spans="1:9" x14ac:dyDescent="0.2">
      <c r="A30" s="8">
        <v>23</v>
      </c>
      <c r="B30" s="9" t="s">
        <v>36</v>
      </c>
      <c r="C30" s="4"/>
      <c r="D30" s="4"/>
      <c r="E30" s="4"/>
      <c r="F30" s="4"/>
      <c r="G30" s="4"/>
      <c r="H30" s="4"/>
      <c r="I30" s="4"/>
    </row>
    <row r="31" spans="1:9" x14ac:dyDescent="0.2">
      <c r="A31" s="8">
        <v>24</v>
      </c>
      <c r="B31" s="9" t="s">
        <v>37</v>
      </c>
      <c r="C31" s="4"/>
      <c r="D31" s="4"/>
      <c r="E31" s="4"/>
      <c r="F31" s="4"/>
      <c r="G31" s="4"/>
      <c r="H31" s="4"/>
      <c r="I31" s="4"/>
    </row>
    <row r="32" spans="1:9" x14ac:dyDescent="0.2">
      <c r="A32" s="8">
        <v>25</v>
      </c>
      <c r="B32" s="9" t="s">
        <v>38</v>
      </c>
      <c r="C32" s="4"/>
      <c r="D32" s="4"/>
      <c r="E32" s="4"/>
      <c r="F32" s="4"/>
      <c r="G32" s="4"/>
      <c r="H32" s="4"/>
      <c r="I32" s="4"/>
    </row>
    <row r="33" spans="1:9" x14ac:dyDescent="0.2">
      <c r="A33" s="8">
        <v>26</v>
      </c>
      <c r="B33" s="9" t="s">
        <v>39</v>
      </c>
      <c r="C33" s="4"/>
      <c r="D33" s="4"/>
      <c r="E33" s="4"/>
      <c r="F33" s="4"/>
      <c r="G33" s="4"/>
      <c r="H33" s="4"/>
      <c r="I33" s="4"/>
    </row>
    <row r="34" spans="1:9" x14ac:dyDescent="0.2">
      <c r="A34" s="8">
        <v>27</v>
      </c>
      <c r="B34" s="9" t="s">
        <v>40</v>
      </c>
      <c r="C34" s="4"/>
      <c r="D34" s="4"/>
      <c r="E34" s="4"/>
      <c r="F34" s="4"/>
      <c r="G34" s="4"/>
      <c r="H34" s="4"/>
      <c r="I34" s="4"/>
    </row>
    <row r="35" spans="1:9" ht="13.5" customHeight="1" x14ac:dyDescent="0.2">
      <c r="A35" s="8">
        <v>28</v>
      </c>
      <c r="B35" s="9" t="s">
        <v>41</v>
      </c>
      <c r="C35" s="4"/>
      <c r="D35" s="4"/>
      <c r="E35" s="4"/>
      <c r="F35" s="4"/>
      <c r="G35" s="4"/>
      <c r="H35" s="4"/>
      <c r="I35" s="4"/>
    </row>
    <row r="36" spans="1:9" x14ac:dyDescent="0.2">
      <c r="A36" s="8">
        <v>29</v>
      </c>
      <c r="B36" s="9" t="s">
        <v>42</v>
      </c>
      <c r="C36" s="4"/>
      <c r="D36" s="4"/>
      <c r="E36" s="4"/>
      <c r="F36" s="4"/>
      <c r="G36" s="4"/>
      <c r="H36" s="4"/>
      <c r="I36" s="4"/>
    </row>
    <row r="37" spans="1:9" x14ac:dyDescent="0.2">
      <c r="A37" s="8">
        <v>30</v>
      </c>
      <c r="B37" s="9" t="s">
        <v>43</v>
      </c>
      <c r="C37" s="4"/>
      <c r="D37" s="4"/>
      <c r="E37" s="4"/>
      <c r="F37" s="4"/>
      <c r="G37" s="4"/>
      <c r="H37" s="4"/>
      <c r="I37" s="4"/>
    </row>
    <row r="38" spans="1:9" x14ac:dyDescent="0.2">
      <c r="A38" s="8">
        <v>31</v>
      </c>
      <c r="B38" s="9" t="s">
        <v>44</v>
      </c>
      <c r="C38" s="4"/>
      <c r="D38" s="4"/>
      <c r="E38" s="4"/>
      <c r="F38" s="4"/>
      <c r="G38" s="4"/>
      <c r="H38" s="4"/>
      <c r="I38" s="4"/>
    </row>
    <row r="39" spans="1:9" x14ac:dyDescent="0.2">
      <c r="A39" s="8">
        <v>32</v>
      </c>
      <c r="B39" s="9" t="s">
        <v>45</v>
      </c>
      <c r="C39" s="4"/>
      <c r="D39" s="4"/>
      <c r="E39" s="4"/>
      <c r="F39" s="4"/>
      <c r="G39" s="4"/>
      <c r="H39" s="4"/>
      <c r="I39" s="4"/>
    </row>
    <row r="40" spans="1:9" x14ac:dyDescent="0.2">
      <c r="A40" s="8">
        <v>33</v>
      </c>
      <c r="B40" s="9" t="s">
        <v>46</v>
      </c>
      <c r="C40" s="4"/>
      <c r="D40" s="4"/>
      <c r="E40" s="4"/>
      <c r="F40" s="4"/>
      <c r="G40" s="4"/>
      <c r="H40" s="4"/>
      <c r="I40" s="4"/>
    </row>
    <row r="41" spans="1:9" x14ac:dyDescent="0.2">
      <c r="A41" s="8">
        <v>34</v>
      </c>
      <c r="B41" s="9" t="s">
        <v>47</v>
      </c>
      <c r="C41" s="4"/>
      <c r="D41" s="4"/>
      <c r="E41" s="4"/>
      <c r="F41" s="4"/>
      <c r="G41" s="4"/>
      <c r="H41" s="4"/>
      <c r="I41" s="4"/>
    </row>
    <row r="42" spans="1:9" x14ac:dyDescent="0.2">
      <c r="A42" s="8">
        <v>35</v>
      </c>
      <c r="B42" s="9" t="s">
        <v>48</v>
      </c>
      <c r="C42" s="4"/>
      <c r="D42" s="4"/>
      <c r="E42" s="4"/>
      <c r="F42" s="4"/>
      <c r="G42" s="4"/>
      <c r="H42" s="4"/>
      <c r="I42" s="4"/>
    </row>
    <row r="43" spans="1:9" x14ac:dyDescent="0.2">
      <c r="A43" s="8">
        <v>36</v>
      </c>
      <c r="B43" s="9" t="s">
        <v>49</v>
      </c>
      <c r="C43" s="4"/>
      <c r="D43" s="4"/>
      <c r="E43" s="4"/>
      <c r="F43" s="4"/>
      <c r="G43" s="4"/>
      <c r="H43" s="4"/>
      <c r="I43" s="4"/>
    </row>
    <row r="44" spans="1:9" x14ac:dyDescent="0.2">
      <c r="A44" s="8">
        <v>37</v>
      </c>
      <c r="B44" s="9" t="s">
        <v>50</v>
      </c>
      <c r="C44" s="4"/>
      <c r="D44" s="4"/>
      <c r="E44" s="4"/>
      <c r="F44" s="4"/>
      <c r="G44" s="4"/>
      <c r="H44" s="4"/>
      <c r="I44" s="4"/>
    </row>
    <row r="45" spans="1:9" x14ac:dyDescent="0.2">
      <c r="A45" s="8">
        <v>38</v>
      </c>
      <c r="B45" s="9" t="s">
        <v>51</v>
      </c>
      <c r="C45" s="4"/>
      <c r="D45" s="4"/>
      <c r="E45" s="4"/>
      <c r="F45" s="4"/>
      <c r="G45" s="4"/>
      <c r="H45" s="4"/>
      <c r="I45" s="4"/>
    </row>
    <row r="46" spans="1:9" x14ac:dyDescent="0.2">
      <c r="A46" s="8">
        <v>39</v>
      </c>
      <c r="B46" s="9" t="s">
        <v>52</v>
      </c>
      <c r="C46" s="4"/>
      <c r="D46" s="4"/>
      <c r="E46" s="4"/>
      <c r="F46" s="4"/>
      <c r="G46" s="4"/>
      <c r="H46" s="4"/>
      <c r="I46" s="4"/>
    </row>
    <row r="47" spans="1:9" x14ac:dyDescent="0.2">
      <c r="A47" s="8">
        <v>40</v>
      </c>
      <c r="B47" s="9" t="s">
        <v>53</v>
      </c>
      <c r="C47" s="4"/>
      <c r="D47" s="4"/>
      <c r="E47" s="4"/>
      <c r="F47" s="4"/>
      <c r="G47" s="4"/>
      <c r="H47" s="4"/>
      <c r="I47" s="4"/>
    </row>
    <row r="48" spans="1:9" x14ac:dyDescent="0.2">
      <c r="A48" s="78"/>
      <c r="B48" s="78"/>
      <c r="C48" s="4"/>
      <c r="D48" s="4"/>
      <c r="E48" s="4"/>
      <c r="F48" s="4"/>
      <c r="G48" s="4"/>
      <c r="H48" s="4"/>
      <c r="I48" s="4"/>
    </row>
    <row r="49" spans="1:9" x14ac:dyDescent="0.2">
      <c r="A49" s="79"/>
      <c r="B49" s="79"/>
      <c r="C49" s="4"/>
      <c r="D49" s="4"/>
      <c r="E49" s="4"/>
      <c r="F49" s="4"/>
      <c r="G49" s="4"/>
      <c r="H49" s="4"/>
      <c r="I49" s="4"/>
    </row>
    <row r="50" spans="1:9" x14ac:dyDescent="0.2">
      <c r="A50" s="14"/>
      <c r="B50" s="15" t="s">
        <v>54</v>
      </c>
      <c r="C50" s="4"/>
      <c r="D50" s="4"/>
      <c r="E50" s="4"/>
      <c r="F50" s="4"/>
      <c r="G50" s="4"/>
      <c r="H50" s="4"/>
      <c r="I50" s="4"/>
    </row>
    <row r="51" spans="1:9" x14ac:dyDescent="0.2">
      <c r="A51" s="8">
        <v>1</v>
      </c>
      <c r="B51" s="9" t="s">
        <v>55</v>
      </c>
      <c r="C51" s="4"/>
      <c r="D51" s="4"/>
      <c r="E51" s="4"/>
      <c r="F51" s="4"/>
      <c r="G51" s="4"/>
      <c r="H51" s="4"/>
      <c r="I51" s="4"/>
    </row>
    <row r="52" spans="1:9" x14ac:dyDescent="0.2">
      <c r="A52" s="8">
        <v>2</v>
      </c>
      <c r="B52" s="9" t="s">
        <v>56</v>
      </c>
      <c r="C52" s="4"/>
      <c r="D52" s="4"/>
      <c r="E52" s="4"/>
      <c r="F52" s="4"/>
      <c r="G52" s="4"/>
      <c r="H52" s="4"/>
      <c r="I52" s="4"/>
    </row>
    <row r="53" spans="1:9" x14ac:dyDescent="0.2">
      <c r="A53" s="8">
        <v>3</v>
      </c>
      <c r="B53" s="9" t="s">
        <v>57</v>
      </c>
      <c r="C53" s="4"/>
      <c r="D53" s="4"/>
      <c r="E53" s="4"/>
      <c r="F53" s="4"/>
      <c r="G53" s="4"/>
      <c r="H53" s="4"/>
      <c r="I53" s="4"/>
    </row>
    <row r="54" spans="1:9" x14ac:dyDescent="0.2">
      <c r="A54" s="8">
        <v>4</v>
      </c>
      <c r="B54" s="9" t="s">
        <v>58</v>
      </c>
      <c r="C54" s="4"/>
      <c r="D54" s="4"/>
      <c r="E54" s="4"/>
      <c r="F54" s="4"/>
      <c r="G54" s="4"/>
      <c r="H54" s="4"/>
      <c r="I54" s="4"/>
    </row>
    <row r="55" spans="1:9" x14ac:dyDescent="0.2">
      <c r="A55" s="8">
        <v>5</v>
      </c>
      <c r="B55" s="13" t="s">
        <v>59</v>
      </c>
      <c r="C55" s="4"/>
      <c r="D55" s="4"/>
      <c r="E55" s="4"/>
      <c r="F55" s="4"/>
      <c r="G55" s="4"/>
      <c r="H55" s="4"/>
      <c r="I55" s="4"/>
    </row>
    <row r="56" spans="1:9" x14ac:dyDescent="0.2">
      <c r="A56" s="8">
        <v>6</v>
      </c>
      <c r="B56" s="9" t="s">
        <v>60</v>
      </c>
      <c r="C56" s="4"/>
      <c r="D56" s="4"/>
      <c r="E56" s="4"/>
      <c r="F56" s="4"/>
      <c r="G56" s="4"/>
      <c r="H56" s="4"/>
      <c r="I56" s="4"/>
    </row>
    <row r="57" spans="1:9" x14ac:dyDescent="0.2">
      <c r="A57" s="8">
        <v>7</v>
      </c>
      <c r="B57" s="9" t="s">
        <v>61</v>
      </c>
      <c r="C57" s="4"/>
      <c r="D57" s="4"/>
      <c r="E57" s="4"/>
      <c r="F57" s="4"/>
      <c r="G57" s="4"/>
      <c r="H57" s="4"/>
      <c r="I57" s="4"/>
    </row>
    <row r="58" spans="1:9" x14ac:dyDescent="0.2">
      <c r="A58" s="8">
        <v>8</v>
      </c>
      <c r="B58" s="9" t="s">
        <v>62</v>
      </c>
      <c r="C58" s="4"/>
      <c r="D58" s="4"/>
      <c r="E58" s="4"/>
      <c r="F58" s="4"/>
      <c r="G58" s="4"/>
      <c r="H58" s="4"/>
      <c r="I58" s="4"/>
    </row>
    <row r="59" spans="1:9" x14ac:dyDescent="0.2">
      <c r="A59" s="8">
        <v>9</v>
      </c>
      <c r="B59" s="9" t="s">
        <v>63</v>
      </c>
      <c r="C59" s="4"/>
      <c r="D59" s="4"/>
      <c r="E59" s="4"/>
      <c r="F59" s="4"/>
      <c r="G59" s="4"/>
      <c r="H59" s="4"/>
      <c r="I59" s="4"/>
    </row>
    <row r="60" spans="1:9" x14ac:dyDescent="0.2">
      <c r="A60" s="8">
        <v>10</v>
      </c>
      <c r="B60" s="9" t="s">
        <v>64</v>
      </c>
      <c r="C60" s="4"/>
      <c r="D60" s="4"/>
      <c r="E60" s="4"/>
      <c r="F60" s="4"/>
      <c r="G60" s="4"/>
      <c r="H60" s="4"/>
      <c r="I60" s="4"/>
    </row>
    <row r="61" spans="1:9" x14ac:dyDescent="0.2">
      <c r="A61" s="8">
        <v>11</v>
      </c>
      <c r="B61" s="9" t="s">
        <v>65</v>
      </c>
      <c r="C61" s="4"/>
      <c r="D61" s="4"/>
      <c r="E61" s="4"/>
      <c r="F61" s="4"/>
      <c r="G61" s="4"/>
      <c r="H61" s="4"/>
      <c r="I61" s="4"/>
    </row>
    <row r="62" spans="1:9" x14ac:dyDescent="0.2">
      <c r="A62" s="8">
        <v>12</v>
      </c>
      <c r="B62" s="9" t="s">
        <v>66</v>
      </c>
      <c r="C62" s="4"/>
      <c r="D62" s="4"/>
      <c r="E62" s="4"/>
      <c r="F62" s="4"/>
      <c r="G62" s="4"/>
      <c r="H62" s="4"/>
      <c r="I62" s="4"/>
    </row>
    <row r="63" spans="1:9" x14ac:dyDescent="0.2">
      <c r="A63" s="8">
        <v>13</v>
      </c>
      <c r="B63" s="9" t="s">
        <v>67</v>
      </c>
      <c r="C63" s="4"/>
      <c r="D63" s="4"/>
      <c r="E63" s="4"/>
      <c r="F63" s="4"/>
      <c r="G63" s="4"/>
      <c r="H63" s="4"/>
      <c r="I63" s="4"/>
    </row>
    <row r="64" spans="1:9" x14ac:dyDescent="0.2">
      <c r="A64" s="8">
        <v>14</v>
      </c>
      <c r="B64" s="9" t="s">
        <v>68</v>
      </c>
      <c r="C64" s="4"/>
      <c r="D64" s="4"/>
      <c r="E64" s="4"/>
      <c r="F64" s="4"/>
      <c r="G64" s="4"/>
      <c r="H64" s="4"/>
      <c r="I64" s="4"/>
    </row>
    <row r="65" spans="1:9" x14ac:dyDescent="0.2">
      <c r="A65" s="8">
        <v>15</v>
      </c>
      <c r="B65" s="9" t="s">
        <v>69</v>
      </c>
      <c r="C65" s="4"/>
      <c r="D65" s="4"/>
      <c r="E65" s="4"/>
      <c r="F65" s="4"/>
      <c r="G65" s="4"/>
      <c r="H65" s="4"/>
      <c r="I65" s="4"/>
    </row>
    <row r="66" spans="1:9" x14ac:dyDescent="0.2">
      <c r="A66" s="8">
        <v>16</v>
      </c>
      <c r="B66" s="9" t="s">
        <v>70</v>
      </c>
      <c r="C66" s="4"/>
      <c r="D66" s="4"/>
      <c r="E66" s="4"/>
      <c r="F66" s="4"/>
      <c r="G66" s="4"/>
      <c r="H66" s="4"/>
      <c r="I66" s="4"/>
    </row>
    <row r="67" spans="1:9" x14ac:dyDescent="0.2">
      <c r="A67" s="8">
        <v>17</v>
      </c>
      <c r="B67" s="9" t="s">
        <v>71</v>
      </c>
      <c r="C67" s="4"/>
      <c r="D67" s="4"/>
      <c r="E67" s="4"/>
      <c r="F67" s="4"/>
      <c r="G67" s="4"/>
      <c r="H67" s="4"/>
      <c r="I67" s="4"/>
    </row>
    <row r="68" spans="1:9" x14ac:dyDescent="0.2">
      <c r="A68" s="8">
        <v>18</v>
      </c>
      <c r="B68" s="9" t="s">
        <v>72</v>
      </c>
      <c r="C68" s="4"/>
      <c r="D68" s="4"/>
      <c r="E68" s="4"/>
      <c r="F68" s="4"/>
      <c r="G68" s="4"/>
      <c r="H68" s="4"/>
      <c r="I68" s="4"/>
    </row>
    <row r="69" spans="1:9" x14ac:dyDescent="0.2">
      <c r="A69" s="8">
        <v>19</v>
      </c>
      <c r="B69" s="9" t="s">
        <v>73</v>
      </c>
      <c r="C69" s="4"/>
      <c r="D69" s="4"/>
      <c r="E69" s="4"/>
      <c r="F69" s="4"/>
      <c r="G69" s="4"/>
      <c r="H69" s="4"/>
      <c r="I69" s="4"/>
    </row>
    <row r="70" spans="1:9" x14ac:dyDescent="0.2">
      <c r="A70" s="8">
        <v>20</v>
      </c>
      <c r="B70" s="9" t="s">
        <v>74</v>
      </c>
      <c r="C70" s="4"/>
      <c r="D70" s="4" t="s">
        <v>75</v>
      </c>
      <c r="E70" s="4"/>
      <c r="F70" s="4"/>
      <c r="G70" s="4"/>
      <c r="H70" s="4"/>
      <c r="I70" s="4"/>
    </row>
    <row r="71" spans="1:9" x14ac:dyDescent="0.2">
      <c r="A71" s="78"/>
      <c r="B71" s="78"/>
      <c r="C71" s="4"/>
      <c r="D71" s="4"/>
      <c r="E71" s="4"/>
      <c r="F71" s="4"/>
      <c r="G71" s="4"/>
      <c r="H71" s="4"/>
      <c r="I71" s="4"/>
    </row>
    <row r="72" spans="1:9" x14ac:dyDescent="0.2">
      <c r="A72" s="79"/>
      <c r="B72" s="79"/>
      <c r="C72" s="4"/>
      <c r="D72" s="4"/>
      <c r="E72" s="4"/>
      <c r="F72" s="4"/>
      <c r="G72" s="4"/>
      <c r="H72" s="4"/>
      <c r="I72" s="4"/>
    </row>
    <row r="73" spans="1:9" x14ac:dyDescent="0.2">
      <c r="A73" s="14"/>
      <c r="B73" s="15" t="s">
        <v>76</v>
      </c>
      <c r="C73" s="4"/>
      <c r="D73" s="4"/>
      <c r="E73" s="4"/>
      <c r="F73" s="4"/>
      <c r="G73" s="4"/>
      <c r="H73" s="4"/>
      <c r="I73" s="4"/>
    </row>
    <row r="74" spans="1:9" x14ac:dyDescent="0.2">
      <c r="A74" s="8">
        <v>1</v>
      </c>
      <c r="B74" s="9" t="s">
        <v>77</v>
      </c>
      <c r="C74" s="4"/>
      <c r="D74" s="4"/>
      <c r="E74" s="4"/>
      <c r="F74" s="4"/>
      <c r="G74" s="4"/>
      <c r="H74" s="4"/>
      <c r="I74" s="4"/>
    </row>
    <row r="75" spans="1:9" x14ac:dyDescent="0.2">
      <c r="A75" s="8">
        <v>2</v>
      </c>
      <c r="B75" s="9" t="s">
        <v>78</v>
      </c>
      <c r="C75" s="4"/>
      <c r="D75" s="4"/>
      <c r="E75" s="4"/>
      <c r="F75" s="4"/>
      <c r="G75" s="4"/>
      <c r="H75" s="4"/>
      <c r="I75" s="4"/>
    </row>
    <row r="76" spans="1:9" x14ac:dyDescent="0.2">
      <c r="A76" s="8">
        <v>3</v>
      </c>
      <c r="B76" s="9" t="s">
        <v>79</v>
      </c>
      <c r="C76" s="4"/>
      <c r="D76" s="4"/>
      <c r="E76" s="4"/>
      <c r="F76" s="4"/>
      <c r="G76" s="4"/>
      <c r="H76" s="4"/>
      <c r="I76" s="4"/>
    </row>
    <row r="77" spans="1:9" x14ac:dyDescent="0.2">
      <c r="A77" s="8">
        <v>4</v>
      </c>
      <c r="B77" s="9" t="s">
        <v>80</v>
      </c>
      <c r="C77" s="4"/>
      <c r="D77" s="4"/>
      <c r="E77" s="4"/>
      <c r="F77" s="4"/>
      <c r="G77" s="4"/>
      <c r="H77" s="4"/>
      <c r="I77" s="4"/>
    </row>
    <row r="78" spans="1:9" x14ac:dyDescent="0.2">
      <c r="A78" s="8">
        <v>5</v>
      </c>
      <c r="B78" s="9" t="s">
        <v>81</v>
      </c>
      <c r="C78" s="4"/>
      <c r="D78" s="4"/>
      <c r="E78" s="4"/>
      <c r="F78" s="4"/>
      <c r="G78" s="4"/>
      <c r="H78" s="4"/>
      <c r="I78" s="4"/>
    </row>
    <row r="79" spans="1:9" x14ac:dyDescent="0.2">
      <c r="A79" s="8">
        <v>6</v>
      </c>
      <c r="B79" s="9" t="s">
        <v>82</v>
      </c>
      <c r="C79" s="4"/>
      <c r="D79" s="4"/>
      <c r="E79" s="4"/>
      <c r="F79" s="4"/>
      <c r="G79" s="4"/>
      <c r="H79" s="4"/>
      <c r="I79" s="4"/>
    </row>
    <row r="80" spans="1:9" x14ac:dyDescent="0.2">
      <c r="A80" s="8">
        <v>7</v>
      </c>
      <c r="B80" s="9" t="s">
        <v>83</v>
      </c>
      <c r="C80" s="4"/>
      <c r="D80" s="4"/>
      <c r="E80" s="4"/>
      <c r="F80" s="4"/>
      <c r="G80" s="4"/>
      <c r="H80" s="4"/>
      <c r="I80" s="4"/>
    </row>
    <row r="81" spans="1:9" x14ac:dyDescent="0.2">
      <c r="A81" s="8">
        <v>8</v>
      </c>
      <c r="B81" s="9" t="s">
        <v>84</v>
      </c>
      <c r="C81" s="4"/>
      <c r="D81" s="4"/>
      <c r="E81" s="4"/>
      <c r="F81" s="4"/>
      <c r="G81" s="4"/>
      <c r="H81" s="4"/>
      <c r="I81" s="4"/>
    </row>
    <row r="82" spans="1:9" x14ac:dyDescent="0.2">
      <c r="A82" s="8">
        <v>9</v>
      </c>
      <c r="B82" s="9" t="s">
        <v>85</v>
      </c>
      <c r="C82" s="4"/>
      <c r="D82" s="4"/>
      <c r="E82" s="4"/>
      <c r="F82" s="4"/>
      <c r="G82" s="4"/>
      <c r="H82" s="4"/>
      <c r="I82" s="4"/>
    </row>
    <row r="83" spans="1:9" x14ac:dyDescent="0.2">
      <c r="A83" s="8">
        <v>10</v>
      </c>
      <c r="B83" s="9" t="s">
        <v>86</v>
      </c>
      <c r="C83" s="4"/>
      <c r="D83" s="4"/>
      <c r="E83" s="4"/>
      <c r="F83" s="4"/>
      <c r="G83" s="4"/>
      <c r="H83" s="4"/>
      <c r="I83" s="4"/>
    </row>
    <row r="84" spans="1:9" x14ac:dyDescent="0.2">
      <c r="A84" s="8">
        <v>11</v>
      </c>
      <c r="B84" s="9" t="s">
        <v>87</v>
      </c>
      <c r="C84" s="4"/>
      <c r="D84" s="4"/>
      <c r="E84" s="4"/>
      <c r="F84" s="4"/>
      <c r="G84" s="4"/>
      <c r="H84" s="4"/>
      <c r="I84" s="4"/>
    </row>
    <row r="85" spans="1:9" x14ac:dyDescent="0.2">
      <c r="A85" s="8">
        <v>12</v>
      </c>
      <c r="B85" s="9" t="s">
        <v>88</v>
      </c>
      <c r="C85" s="4"/>
      <c r="D85" s="4"/>
      <c r="E85" s="4"/>
      <c r="F85" s="4"/>
      <c r="G85" s="4"/>
      <c r="H85" s="4"/>
      <c r="I85" s="4"/>
    </row>
    <row r="86" spans="1:9" x14ac:dyDescent="0.2">
      <c r="A86" s="8">
        <v>13</v>
      </c>
      <c r="B86" s="9" t="s">
        <v>89</v>
      </c>
      <c r="C86" s="4"/>
      <c r="D86" s="4"/>
      <c r="E86" s="4"/>
      <c r="F86" s="4"/>
      <c r="G86" s="4"/>
      <c r="H86" s="4"/>
      <c r="I86" s="4"/>
    </row>
    <row r="87" spans="1:9" x14ac:dyDescent="0.2">
      <c r="A87" s="8">
        <v>14</v>
      </c>
      <c r="B87" s="9" t="s">
        <v>90</v>
      </c>
      <c r="C87" s="4"/>
      <c r="D87" s="4"/>
      <c r="E87" s="4"/>
      <c r="F87" s="4"/>
      <c r="G87" s="4"/>
      <c r="H87" s="4"/>
      <c r="I87" s="4"/>
    </row>
    <row r="88" spans="1:9" x14ac:dyDescent="0.2">
      <c r="A88" s="8">
        <v>15</v>
      </c>
      <c r="B88" s="9" t="s">
        <v>91</v>
      </c>
      <c r="C88" s="4"/>
      <c r="D88" s="4"/>
      <c r="E88" s="4"/>
      <c r="F88" s="4"/>
      <c r="G88" s="4"/>
      <c r="H88" s="4"/>
      <c r="I88" s="4"/>
    </row>
    <row r="89" spans="1:9" x14ac:dyDescent="0.2">
      <c r="A89" s="8">
        <v>16</v>
      </c>
      <c r="B89" s="9" t="s">
        <v>92</v>
      </c>
      <c r="C89" s="4"/>
      <c r="D89" s="4"/>
      <c r="E89" s="4"/>
      <c r="F89" s="4"/>
      <c r="G89" s="4"/>
      <c r="H89" s="4"/>
      <c r="I89" s="4"/>
    </row>
    <row r="90" spans="1:9" x14ac:dyDescent="0.2">
      <c r="A90" s="8">
        <v>17</v>
      </c>
      <c r="B90" s="9" t="s">
        <v>93</v>
      </c>
      <c r="C90" s="4"/>
      <c r="D90" s="4"/>
      <c r="E90" s="4"/>
      <c r="F90" s="4"/>
      <c r="G90" s="4"/>
      <c r="H90" s="4"/>
      <c r="I90" s="4"/>
    </row>
    <row r="91" spans="1:9" x14ac:dyDescent="0.2">
      <c r="A91" s="8">
        <v>18</v>
      </c>
      <c r="B91" s="9" t="s">
        <v>94</v>
      </c>
      <c r="C91" s="4"/>
      <c r="D91" s="4"/>
      <c r="E91" s="4"/>
      <c r="F91" s="4"/>
      <c r="G91" s="4"/>
      <c r="H91" s="4"/>
      <c r="I91" s="4"/>
    </row>
    <row r="92" spans="1:9" x14ac:dyDescent="0.2">
      <c r="A92" s="8">
        <v>19</v>
      </c>
      <c r="B92" s="9" t="s">
        <v>95</v>
      </c>
      <c r="C92" s="4"/>
      <c r="D92" s="4"/>
      <c r="E92" s="4"/>
      <c r="F92" s="4"/>
      <c r="G92" s="4"/>
      <c r="H92" s="4"/>
      <c r="I92" s="4"/>
    </row>
    <row r="93" spans="1:9" x14ac:dyDescent="0.2">
      <c r="A93" s="8">
        <v>20</v>
      </c>
      <c r="B93" s="9" t="s">
        <v>96</v>
      </c>
      <c r="C93" s="4"/>
      <c r="D93" s="4"/>
      <c r="E93" s="4"/>
      <c r="F93" s="4"/>
      <c r="G93" s="4"/>
      <c r="H93" s="4"/>
      <c r="I93" s="4"/>
    </row>
    <row r="94" spans="1:9" x14ac:dyDescent="0.2">
      <c r="A94" s="8">
        <v>21</v>
      </c>
      <c r="B94" s="9" t="s">
        <v>97</v>
      </c>
      <c r="C94" s="4"/>
      <c r="D94" s="4"/>
      <c r="E94" s="4"/>
      <c r="F94" s="4"/>
      <c r="G94" s="4"/>
      <c r="H94" s="4"/>
      <c r="I94" s="4"/>
    </row>
    <row r="95" spans="1:9" x14ac:dyDescent="0.2">
      <c r="A95" s="8">
        <v>22</v>
      </c>
      <c r="B95" s="9" t="s">
        <v>98</v>
      </c>
      <c r="C95" s="4"/>
      <c r="D95" s="4"/>
      <c r="E95" s="4"/>
      <c r="F95" s="4"/>
      <c r="G95" s="4"/>
      <c r="H95" s="4"/>
      <c r="I95" s="4"/>
    </row>
    <row r="96" spans="1:9" x14ac:dyDescent="0.2">
      <c r="A96" s="8">
        <v>23</v>
      </c>
      <c r="B96" s="9" t="s">
        <v>99</v>
      </c>
      <c r="C96" s="4"/>
      <c r="D96" s="4"/>
      <c r="E96" s="4"/>
      <c r="F96" s="4"/>
      <c r="G96" s="4"/>
      <c r="H96" s="4"/>
      <c r="I96" s="4"/>
    </row>
    <row r="97" spans="1:9" x14ac:dyDescent="0.2">
      <c r="A97" s="8">
        <v>24</v>
      </c>
      <c r="B97" s="9" t="s">
        <v>100</v>
      </c>
      <c r="C97" s="4"/>
      <c r="D97" s="4"/>
      <c r="E97" s="4"/>
      <c r="F97" s="4"/>
      <c r="G97" s="4"/>
      <c r="H97" s="4"/>
      <c r="I97" s="4"/>
    </row>
    <row r="98" spans="1:9" x14ac:dyDescent="0.2">
      <c r="A98" s="8">
        <v>25</v>
      </c>
      <c r="B98" s="9" t="s">
        <v>101</v>
      </c>
      <c r="C98" s="4"/>
      <c r="D98" s="4"/>
      <c r="E98" s="4"/>
      <c r="F98" s="4"/>
      <c r="G98" s="4"/>
      <c r="H98" s="4"/>
      <c r="I98" s="4"/>
    </row>
    <row r="99" spans="1:9" x14ac:dyDescent="0.2">
      <c r="A99" s="8">
        <v>26</v>
      </c>
      <c r="B99" s="4" t="s">
        <v>102</v>
      </c>
      <c r="C99" s="4"/>
      <c r="D99" s="4"/>
      <c r="E99" s="4"/>
      <c r="F99" s="4"/>
      <c r="G99" s="4"/>
      <c r="H99" s="4"/>
      <c r="I99" s="4"/>
    </row>
    <row r="100" spans="1:9" x14ac:dyDescent="0.2">
      <c r="A100" s="8">
        <v>27</v>
      </c>
      <c r="B100" s="9" t="s">
        <v>103</v>
      </c>
      <c r="C100" s="4"/>
      <c r="D100" s="4"/>
      <c r="E100" s="4"/>
      <c r="F100" s="4"/>
      <c r="G100" s="4"/>
      <c r="H100" s="4"/>
      <c r="I100" s="4"/>
    </row>
    <row r="101" spans="1:9" x14ac:dyDescent="0.2">
      <c r="A101" s="8">
        <v>28</v>
      </c>
      <c r="B101" s="9" t="s">
        <v>104</v>
      </c>
      <c r="C101" s="4"/>
      <c r="D101" s="4"/>
      <c r="E101" s="4"/>
      <c r="F101" s="4"/>
      <c r="G101" s="4"/>
      <c r="H101" s="4"/>
      <c r="I101" s="4"/>
    </row>
    <row r="102" spans="1:9" x14ac:dyDescent="0.2">
      <c r="A102" s="8">
        <v>29</v>
      </c>
      <c r="B102" s="9" t="s">
        <v>105</v>
      </c>
      <c r="C102" s="4"/>
      <c r="D102" s="4"/>
      <c r="E102" s="4"/>
      <c r="F102" s="4"/>
      <c r="G102" s="4"/>
      <c r="H102" s="4"/>
      <c r="I102" s="4"/>
    </row>
    <row r="103" spans="1:9" x14ac:dyDescent="0.2">
      <c r="A103" s="8">
        <v>30</v>
      </c>
      <c r="B103" s="9" t="s">
        <v>106</v>
      </c>
      <c r="C103" s="4"/>
      <c r="D103" s="4"/>
      <c r="E103" s="4"/>
      <c r="F103" s="4"/>
      <c r="G103" s="4"/>
      <c r="H103" s="4"/>
      <c r="I103" s="4"/>
    </row>
    <row r="104" spans="1:9" x14ac:dyDescent="0.2">
      <c r="A104" s="8">
        <v>31</v>
      </c>
      <c r="B104" s="9" t="s">
        <v>107</v>
      </c>
      <c r="C104" s="4"/>
      <c r="D104" s="4"/>
      <c r="E104" s="4"/>
      <c r="F104" s="4"/>
      <c r="G104" s="4"/>
      <c r="H104" s="4"/>
      <c r="I104" s="4"/>
    </row>
    <row r="105" spans="1:9" x14ac:dyDescent="0.2">
      <c r="A105" s="8">
        <v>32</v>
      </c>
      <c r="B105" s="9" t="s">
        <v>108</v>
      </c>
      <c r="C105" s="4"/>
      <c r="D105" s="4"/>
      <c r="E105" s="4"/>
      <c r="F105" s="4"/>
      <c r="G105" s="4"/>
      <c r="H105" s="4"/>
      <c r="I105" s="4"/>
    </row>
    <row r="106" spans="1:9" x14ac:dyDescent="0.2">
      <c r="A106" s="8">
        <v>33</v>
      </c>
      <c r="B106" s="4" t="s">
        <v>109</v>
      </c>
      <c r="C106" s="4"/>
      <c r="D106" s="4"/>
      <c r="E106" s="4"/>
      <c r="F106" s="4"/>
      <c r="G106" s="4"/>
      <c r="H106" s="4"/>
      <c r="I106" s="4"/>
    </row>
    <row r="107" spans="1:9" x14ac:dyDescent="0.2">
      <c r="A107" s="8">
        <v>34</v>
      </c>
      <c r="B107" s="9" t="s">
        <v>110</v>
      </c>
      <c r="C107" s="4"/>
      <c r="D107" s="4"/>
      <c r="E107" s="4"/>
      <c r="F107" s="4"/>
      <c r="G107" s="4"/>
      <c r="H107" s="4"/>
      <c r="I107" s="4"/>
    </row>
    <row r="108" spans="1:9" x14ac:dyDescent="0.2">
      <c r="A108" s="8">
        <v>35</v>
      </c>
      <c r="B108" s="9" t="s">
        <v>111</v>
      </c>
      <c r="C108" s="4"/>
      <c r="D108" s="4"/>
      <c r="E108" s="4"/>
      <c r="F108" s="4"/>
      <c r="G108" s="4"/>
      <c r="H108" s="4"/>
      <c r="I108" s="4"/>
    </row>
    <row r="109" spans="1:9" x14ac:dyDescent="0.2">
      <c r="A109" s="8">
        <v>36</v>
      </c>
      <c r="B109" s="9" t="s">
        <v>112</v>
      </c>
      <c r="C109" s="4"/>
      <c r="D109" s="4"/>
      <c r="E109" s="4"/>
      <c r="F109" s="4"/>
      <c r="G109" s="4"/>
      <c r="H109" s="4"/>
      <c r="I109" s="4"/>
    </row>
    <row r="110" spans="1:9" x14ac:dyDescent="0.2">
      <c r="A110" s="8">
        <v>37</v>
      </c>
      <c r="B110" s="9" t="s">
        <v>113</v>
      </c>
      <c r="C110" s="4"/>
      <c r="D110" s="4"/>
      <c r="E110" s="4"/>
      <c r="F110" s="4"/>
      <c r="G110" s="4"/>
      <c r="H110" s="4"/>
      <c r="I110" s="4"/>
    </row>
    <row r="111" spans="1:9" x14ac:dyDescent="0.2">
      <c r="A111" s="8">
        <v>38</v>
      </c>
      <c r="B111" s="9" t="s">
        <v>114</v>
      </c>
      <c r="C111" s="4"/>
      <c r="D111" s="4"/>
      <c r="E111" s="4"/>
      <c r="F111" s="4"/>
      <c r="G111" s="4"/>
      <c r="H111" s="4"/>
      <c r="I111" s="4"/>
    </row>
    <row r="112" spans="1:9" x14ac:dyDescent="0.2">
      <c r="A112" s="8">
        <v>39</v>
      </c>
      <c r="B112" s="9" t="s">
        <v>115</v>
      </c>
      <c r="C112" s="4"/>
      <c r="D112" s="4"/>
      <c r="E112" s="4"/>
      <c r="F112" s="4"/>
      <c r="G112" s="4"/>
      <c r="H112" s="4"/>
      <c r="I112" s="4"/>
    </row>
    <row r="113" spans="1:9" x14ac:dyDescent="0.2">
      <c r="A113" s="8">
        <v>40</v>
      </c>
      <c r="B113" s="9" t="s">
        <v>116</v>
      </c>
      <c r="C113" s="4"/>
      <c r="D113" s="4"/>
      <c r="E113" s="4"/>
      <c r="F113" s="4"/>
      <c r="G113" s="4"/>
      <c r="H113" s="4"/>
      <c r="I113" s="4"/>
    </row>
    <row r="114" spans="1:9" x14ac:dyDescent="0.2">
      <c r="A114" s="8">
        <v>41</v>
      </c>
      <c r="B114" s="9" t="s">
        <v>117</v>
      </c>
      <c r="C114" s="4"/>
      <c r="D114" s="4"/>
      <c r="E114" s="4"/>
      <c r="F114" s="4"/>
      <c r="G114" s="4"/>
      <c r="H114" s="4"/>
      <c r="I114" s="4"/>
    </row>
    <row r="115" spans="1:9" ht="18" customHeight="1" x14ac:dyDescent="0.2">
      <c r="A115" s="8">
        <v>42</v>
      </c>
      <c r="B115" s="9" t="s">
        <v>118</v>
      </c>
      <c r="C115" s="4"/>
      <c r="D115" s="4"/>
      <c r="E115" s="4"/>
      <c r="F115" s="4"/>
      <c r="G115" s="4"/>
      <c r="H115" s="4"/>
      <c r="I115" s="4"/>
    </row>
    <row r="116" spans="1:9" x14ac:dyDescent="0.2">
      <c r="A116" s="8">
        <v>43</v>
      </c>
      <c r="B116" s="9" t="s">
        <v>119</v>
      </c>
      <c r="C116" s="4"/>
      <c r="D116" s="4"/>
      <c r="E116" s="4"/>
      <c r="F116" s="4"/>
      <c r="G116" s="4"/>
      <c r="H116" s="4"/>
      <c r="I116" s="4"/>
    </row>
    <row r="117" spans="1:9" x14ac:dyDescent="0.2">
      <c r="A117" s="8">
        <v>44</v>
      </c>
      <c r="B117" s="9" t="s">
        <v>120</v>
      </c>
      <c r="C117" s="4"/>
      <c r="D117" s="4"/>
      <c r="E117" s="4"/>
      <c r="F117" s="4"/>
      <c r="G117" s="4"/>
      <c r="H117" s="4"/>
      <c r="I117" s="4"/>
    </row>
    <row r="118" spans="1:9" x14ac:dyDescent="0.2">
      <c r="A118" s="8">
        <v>45</v>
      </c>
      <c r="B118" s="9" t="s">
        <v>121</v>
      </c>
      <c r="C118" s="4"/>
      <c r="D118" s="4"/>
      <c r="E118" s="4"/>
      <c r="F118" s="4"/>
      <c r="G118" s="4"/>
      <c r="H118" s="4"/>
      <c r="I118" s="4"/>
    </row>
    <row r="119" spans="1:9" ht="17.25" customHeight="1" x14ac:dyDescent="0.2">
      <c r="A119" s="8">
        <v>46</v>
      </c>
      <c r="B119" s="9" t="s">
        <v>122</v>
      </c>
      <c r="C119" s="4"/>
      <c r="D119" s="4"/>
      <c r="E119" s="4"/>
      <c r="F119" s="4"/>
      <c r="G119" s="4"/>
      <c r="H119" s="4"/>
      <c r="I119" s="4"/>
    </row>
    <row r="120" spans="1:9" ht="18" customHeight="1" x14ac:dyDescent="0.2">
      <c r="A120" s="79"/>
      <c r="B120" s="79"/>
      <c r="C120" s="4"/>
      <c r="D120" s="4"/>
      <c r="E120" s="4"/>
      <c r="F120" s="4"/>
      <c r="G120" s="4"/>
      <c r="H120" s="4"/>
      <c r="I120" s="4"/>
    </row>
    <row r="121" spans="1:9" x14ac:dyDescent="0.2">
      <c r="A121" s="14"/>
      <c r="B121" s="15" t="s">
        <v>123</v>
      </c>
      <c r="C121" s="4"/>
      <c r="D121" s="4"/>
      <c r="E121" s="4"/>
      <c r="F121" s="4"/>
      <c r="G121" s="4"/>
      <c r="H121" s="4"/>
      <c r="I121" s="4"/>
    </row>
    <row r="122" spans="1:9" x14ac:dyDescent="0.2">
      <c r="A122" s="8">
        <v>1</v>
      </c>
      <c r="B122" s="9" t="s">
        <v>124</v>
      </c>
      <c r="C122" s="4"/>
      <c r="D122" s="4"/>
      <c r="E122" s="4"/>
      <c r="F122" s="4"/>
      <c r="G122" s="4"/>
      <c r="H122" s="4"/>
      <c r="I122" s="4"/>
    </row>
    <row r="123" spans="1:9" x14ac:dyDescent="0.2">
      <c r="A123" s="8">
        <v>2</v>
      </c>
      <c r="B123" s="9" t="s">
        <v>125</v>
      </c>
      <c r="C123" s="4"/>
      <c r="D123" s="4"/>
      <c r="E123" s="4"/>
      <c r="F123" s="4"/>
      <c r="G123" s="4"/>
      <c r="H123" s="4"/>
      <c r="I123" s="4"/>
    </row>
    <row r="124" spans="1:9" x14ac:dyDescent="0.2">
      <c r="A124" s="8">
        <v>3</v>
      </c>
      <c r="B124" s="9" t="s">
        <v>126</v>
      </c>
      <c r="C124" s="4"/>
      <c r="D124" s="4"/>
      <c r="E124" s="4"/>
      <c r="F124" s="4"/>
      <c r="G124" s="4"/>
      <c r="H124" s="4"/>
      <c r="I124" s="4"/>
    </row>
    <row r="125" spans="1:9" x14ac:dyDescent="0.2">
      <c r="A125" s="8">
        <v>4</v>
      </c>
      <c r="B125" s="9" t="s">
        <v>127</v>
      </c>
      <c r="C125" s="4"/>
      <c r="D125" s="4"/>
      <c r="E125" s="4"/>
      <c r="F125" s="4"/>
      <c r="G125" s="4"/>
      <c r="H125" s="4"/>
      <c r="I125" s="4"/>
    </row>
    <row r="126" spans="1:9" x14ac:dyDescent="0.2">
      <c r="A126" s="8">
        <v>5</v>
      </c>
      <c r="B126" s="9" t="s">
        <v>128</v>
      </c>
      <c r="C126" s="4"/>
      <c r="D126" s="4"/>
      <c r="E126" s="4"/>
      <c r="F126" s="4"/>
      <c r="G126" s="4"/>
      <c r="H126" s="4"/>
      <c r="I126" s="4"/>
    </row>
    <row r="127" spans="1:9" x14ac:dyDescent="0.2">
      <c r="A127" s="78"/>
      <c r="B127" s="78"/>
      <c r="C127" s="4"/>
      <c r="D127" s="4"/>
      <c r="E127" s="4"/>
      <c r="F127" s="4"/>
      <c r="G127" s="4"/>
      <c r="H127" s="4"/>
      <c r="I127" s="4"/>
    </row>
    <row r="128" spans="1:9" x14ac:dyDescent="0.2">
      <c r="A128" s="79"/>
      <c r="B128" s="79"/>
      <c r="C128" s="4"/>
      <c r="D128" s="4"/>
      <c r="E128" s="4"/>
      <c r="F128" s="4"/>
      <c r="G128" s="4"/>
      <c r="H128" s="4"/>
      <c r="I128" s="4"/>
    </row>
    <row r="129" spans="1:9" x14ac:dyDescent="0.2">
      <c r="A129" s="16"/>
      <c r="B129" s="15" t="s">
        <v>129</v>
      </c>
      <c r="C129" s="4"/>
      <c r="D129" s="4"/>
      <c r="E129" s="4"/>
      <c r="F129" s="4"/>
      <c r="G129" s="4"/>
      <c r="H129" s="4"/>
      <c r="I129" s="4"/>
    </row>
    <row r="130" spans="1:9" x14ac:dyDescent="0.2">
      <c r="A130" s="8">
        <v>1</v>
      </c>
      <c r="B130" s="9" t="s">
        <v>130</v>
      </c>
      <c r="C130" s="4"/>
      <c r="D130" s="4"/>
      <c r="E130" s="4"/>
      <c r="F130" s="4"/>
      <c r="G130" s="4"/>
      <c r="H130" s="4"/>
      <c r="I130" s="4"/>
    </row>
    <row r="131" spans="1:9" x14ac:dyDescent="0.2">
      <c r="A131" s="8">
        <v>2</v>
      </c>
      <c r="B131" s="9" t="s">
        <v>131</v>
      </c>
      <c r="C131" s="4"/>
      <c r="D131" s="4"/>
      <c r="E131" s="4"/>
      <c r="F131" s="4"/>
      <c r="G131" s="4"/>
      <c r="H131" s="4"/>
      <c r="I131" s="4"/>
    </row>
    <row r="132" spans="1:9" x14ac:dyDescent="0.2">
      <c r="A132" s="8">
        <v>3</v>
      </c>
      <c r="B132" s="13" t="s">
        <v>132</v>
      </c>
      <c r="C132" s="4"/>
      <c r="D132" s="4"/>
      <c r="E132" s="4"/>
      <c r="F132" s="4"/>
      <c r="G132" s="4"/>
      <c r="H132" s="4"/>
      <c r="I132" s="4"/>
    </row>
    <row r="133" spans="1:9" x14ac:dyDescent="0.2">
      <c r="A133" s="8">
        <v>4</v>
      </c>
      <c r="B133" s="9" t="s">
        <v>133</v>
      </c>
      <c r="C133" s="4"/>
      <c r="D133" s="4"/>
      <c r="E133" s="4"/>
      <c r="F133" s="4"/>
      <c r="G133" s="4"/>
      <c r="H133" s="4"/>
      <c r="I133" s="4"/>
    </row>
    <row r="134" spans="1:9" x14ac:dyDescent="0.2">
      <c r="A134" s="8">
        <v>5</v>
      </c>
      <c r="B134" s="9" t="s">
        <v>134</v>
      </c>
      <c r="C134" s="4"/>
      <c r="D134" s="4"/>
      <c r="E134" s="4"/>
      <c r="F134" s="4"/>
      <c r="G134" s="4"/>
      <c r="H134" s="4"/>
      <c r="I134" s="4"/>
    </row>
    <row r="135" spans="1:9" x14ac:dyDescent="0.2">
      <c r="A135" s="8">
        <v>6</v>
      </c>
      <c r="B135" s="9" t="s">
        <v>135</v>
      </c>
      <c r="C135" s="4"/>
      <c r="D135" s="4"/>
      <c r="E135" s="4"/>
      <c r="F135" s="4"/>
      <c r="G135" s="4"/>
      <c r="H135" s="4"/>
      <c r="I135" s="4"/>
    </row>
    <row r="136" spans="1:9" x14ac:dyDescent="0.2">
      <c r="A136" s="8">
        <v>7</v>
      </c>
      <c r="B136" s="9" t="s">
        <v>136</v>
      </c>
      <c r="C136" s="4"/>
      <c r="D136" s="4"/>
      <c r="E136" s="4"/>
      <c r="F136" s="4"/>
      <c r="G136" s="4"/>
      <c r="H136" s="4"/>
      <c r="I136" s="4"/>
    </row>
    <row r="137" spans="1:9" x14ac:dyDescent="0.2">
      <c r="A137" s="8">
        <v>8</v>
      </c>
      <c r="B137" s="9" t="s">
        <v>137</v>
      </c>
      <c r="C137" s="4"/>
      <c r="D137" s="4"/>
      <c r="E137" s="4"/>
      <c r="F137" s="4"/>
      <c r="G137" s="4"/>
      <c r="H137" s="4"/>
      <c r="I137" s="4"/>
    </row>
    <row r="138" spans="1:9" x14ac:dyDescent="0.2">
      <c r="A138" s="8">
        <v>9</v>
      </c>
      <c r="B138" s="9" t="s">
        <v>138</v>
      </c>
      <c r="C138" s="4"/>
      <c r="D138" s="4"/>
      <c r="E138" s="4"/>
      <c r="F138" s="4"/>
      <c r="G138" s="4"/>
      <c r="H138" s="4"/>
      <c r="I138" s="4"/>
    </row>
    <row r="139" spans="1:9" x14ac:dyDescent="0.2">
      <c r="A139" s="8">
        <v>10</v>
      </c>
      <c r="B139" s="9" t="s">
        <v>139</v>
      </c>
      <c r="C139" s="4"/>
      <c r="D139" s="4"/>
      <c r="E139" s="4"/>
      <c r="F139" s="4"/>
      <c r="G139" s="4"/>
      <c r="H139" s="4"/>
      <c r="I139" s="4"/>
    </row>
    <row r="140" spans="1:9" x14ac:dyDescent="0.2">
      <c r="A140" s="8">
        <v>11</v>
      </c>
      <c r="B140" s="9" t="s">
        <v>140</v>
      </c>
      <c r="C140" s="4"/>
      <c r="D140" s="4"/>
      <c r="E140" s="4"/>
      <c r="F140" s="4"/>
      <c r="G140" s="4"/>
      <c r="H140" s="4"/>
      <c r="I140" s="4"/>
    </row>
    <row r="141" spans="1:9" x14ac:dyDescent="0.2">
      <c r="A141" s="8">
        <v>12</v>
      </c>
      <c r="B141" s="9" t="s">
        <v>141</v>
      </c>
      <c r="C141" s="4"/>
      <c r="D141" s="4"/>
      <c r="E141" s="4"/>
      <c r="F141" s="4"/>
      <c r="G141" s="4"/>
      <c r="H141" s="4"/>
      <c r="I141" s="4"/>
    </row>
    <row r="142" spans="1:9" x14ac:dyDescent="0.2">
      <c r="A142" s="8">
        <v>13</v>
      </c>
      <c r="B142" s="9" t="s">
        <v>142</v>
      </c>
      <c r="C142" s="4"/>
      <c r="D142" s="4"/>
      <c r="E142" s="4"/>
      <c r="F142" s="4"/>
      <c r="G142" s="4"/>
      <c r="H142" s="4"/>
      <c r="I142" s="4"/>
    </row>
    <row r="143" spans="1:9" x14ac:dyDescent="0.2">
      <c r="A143" s="78"/>
      <c r="B143" s="78"/>
      <c r="C143" s="4"/>
      <c r="D143" s="4"/>
      <c r="E143" s="4"/>
      <c r="F143" s="4"/>
      <c r="G143" s="4"/>
      <c r="H143" s="4"/>
      <c r="I143" s="4"/>
    </row>
    <row r="144" spans="1:9" x14ac:dyDescent="0.2">
      <c r="A144" s="77"/>
      <c r="B144" s="77"/>
      <c r="C144" s="4"/>
      <c r="D144" s="4"/>
      <c r="E144" s="4"/>
      <c r="F144" s="4"/>
      <c r="G144" s="4"/>
      <c r="H144" s="4"/>
      <c r="I144" s="4"/>
    </row>
    <row r="145" spans="1:9" x14ac:dyDescent="0.2">
      <c r="A145" s="77"/>
      <c r="B145" s="77"/>
      <c r="C145" s="4"/>
      <c r="D145" s="4"/>
      <c r="E145" s="4"/>
      <c r="F145" s="4"/>
      <c r="G145" s="4"/>
      <c r="H145" s="4"/>
      <c r="I145" s="4"/>
    </row>
    <row r="146" spans="1:9" x14ac:dyDescent="0.2">
      <c r="A146" s="77"/>
      <c r="B146" s="77"/>
      <c r="C146" s="4"/>
      <c r="D146" s="4"/>
      <c r="E146" s="4"/>
      <c r="F146" s="4"/>
      <c r="G146" s="4"/>
      <c r="H146" s="4"/>
      <c r="I146" s="4"/>
    </row>
    <row r="147" spans="1:9" x14ac:dyDescent="0.2">
      <c r="A147" s="77"/>
      <c r="B147" s="77"/>
      <c r="C147" s="4"/>
      <c r="D147" s="4"/>
      <c r="E147" s="4"/>
      <c r="F147" s="4"/>
      <c r="G147" s="4"/>
      <c r="H147" s="4"/>
      <c r="I147" s="4"/>
    </row>
    <row r="148" spans="1:9" x14ac:dyDescent="0.2">
      <c r="A148" s="77"/>
      <c r="B148" s="77"/>
      <c r="C148" s="4"/>
      <c r="D148" s="4"/>
      <c r="E148" s="4"/>
      <c r="F148" s="4"/>
      <c r="G148" s="4"/>
      <c r="H148" s="4"/>
      <c r="I148" s="4"/>
    </row>
    <row r="149" spans="1:9" x14ac:dyDescent="0.2">
      <c r="A149" s="77"/>
      <c r="B149" s="77"/>
      <c r="C149" s="4"/>
      <c r="D149" s="4"/>
      <c r="E149" s="4"/>
      <c r="F149" s="4"/>
      <c r="G149" s="4"/>
      <c r="H149" s="4"/>
      <c r="I149" s="4"/>
    </row>
    <row r="150" spans="1:9" x14ac:dyDescent="0.2">
      <c r="A150" s="77"/>
      <c r="B150" s="77"/>
      <c r="C150" s="4"/>
      <c r="D150" s="4"/>
      <c r="E150" s="4"/>
      <c r="F150" s="4"/>
      <c r="G150" s="4"/>
      <c r="H150" s="4"/>
      <c r="I150" s="4"/>
    </row>
    <row r="151" spans="1:9" x14ac:dyDescent="0.2">
      <c r="A151" s="77"/>
      <c r="B151" s="77"/>
      <c r="C151" s="4"/>
      <c r="D151" s="4"/>
      <c r="E151" s="4"/>
      <c r="F151" s="4"/>
      <c r="G151" s="4"/>
      <c r="H151" s="4"/>
      <c r="I151" s="4"/>
    </row>
    <row r="152" spans="1:9" x14ac:dyDescent="0.2">
      <c r="A152" s="77"/>
      <c r="B152" s="77"/>
      <c r="C152" s="4"/>
      <c r="D152" s="4"/>
      <c r="E152" s="4"/>
      <c r="F152" s="4"/>
      <c r="G152" s="4"/>
      <c r="H152" s="4"/>
      <c r="I152" s="4"/>
    </row>
    <row r="153" spans="1:9" x14ac:dyDescent="0.2">
      <c r="A153" s="77"/>
      <c r="B153" s="77"/>
      <c r="C153" s="4"/>
      <c r="D153" s="4"/>
      <c r="E153" s="4"/>
      <c r="F153" s="4"/>
      <c r="G153" s="4"/>
      <c r="H153" s="4"/>
      <c r="I153" s="4"/>
    </row>
    <row r="154" spans="1:9" x14ac:dyDescent="0.2">
      <c r="A154" s="77"/>
      <c r="B154" s="77"/>
      <c r="C154" s="4"/>
      <c r="D154" s="4"/>
      <c r="E154" s="4"/>
      <c r="F154" s="4"/>
      <c r="G154" s="4"/>
      <c r="H154" s="4"/>
      <c r="I154" s="4"/>
    </row>
    <row r="155" spans="1:9" x14ac:dyDescent="0.2">
      <c r="A155" s="77"/>
      <c r="B155" s="77"/>
      <c r="C155" s="4"/>
      <c r="D155" s="4"/>
      <c r="E155" s="4"/>
      <c r="F155" s="4"/>
      <c r="G155" s="4"/>
      <c r="H155" s="4"/>
      <c r="I155" s="4"/>
    </row>
    <row r="156" spans="1:9" x14ac:dyDescent="0.2">
      <c r="A156" s="77"/>
      <c r="B156" s="77"/>
      <c r="C156" s="4"/>
      <c r="D156" s="4"/>
      <c r="E156" s="4"/>
      <c r="F156" s="4"/>
      <c r="G156" s="4"/>
      <c r="H156" s="4"/>
      <c r="I156" s="4"/>
    </row>
  </sheetData>
  <mergeCells count="25">
    <mergeCell ref="A49:B49"/>
    <mergeCell ref="B3:C3"/>
    <mergeCell ref="A6:B6"/>
    <mergeCell ref="D7:E7"/>
    <mergeCell ref="G7:I7"/>
    <mergeCell ref="A48:B48"/>
    <mergeCell ref="A149:B149"/>
    <mergeCell ref="A71:B71"/>
    <mergeCell ref="A72:B72"/>
    <mergeCell ref="A120:B120"/>
    <mergeCell ref="A127:B127"/>
    <mergeCell ref="A128:B128"/>
    <mergeCell ref="A143:B143"/>
    <mergeCell ref="A144:B144"/>
    <mergeCell ref="A145:B145"/>
    <mergeCell ref="A146:B146"/>
    <mergeCell ref="A147:B147"/>
    <mergeCell ref="A148:B148"/>
    <mergeCell ref="A156:B156"/>
    <mergeCell ref="A150:B150"/>
    <mergeCell ref="A151:B151"/>
    <mergeCell ref="A152:B152"/>
    <mergeCell ref="A153:B153"/>
    <mergeCell ref="A154:B154"/>
    <mergeCell ref="A155:B155"/>
  </mergeCells>
  <pageMargins left="0.75" right="0.75" top="1" bottom="1" header="0.5" footer="0.5"/>
  <pageSetup orientation="portrait" horizontalDpi="4294967292" verticalDpi="4294967292" r:id="rId1"/>
  <headerFooter>
    <oddFooter>&amp;L_x000D_&amp;1#&amp;"Calibri"&amp;11&amp;K000000 Classification: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D96A-1E10-4565-8EEF-06801E9714D7}">
  <sheetPr codeName="Sheet4">
    <tabColor theme="7"/>
  </sheetPr>
  <dimension ref="A1:AN92"/>
  <sheetViews>
    <sheetView showGridLines="0" topLeftCell="A62" zoomScaleNormal="100" workbookViewId="0">
      <selection activeCell="B89" sqref="B89:B92"/>
    </sheetView>
  </sheetViews>
  <sheetFormatPr defaultColWidth="11" defaultRowHeight="14.25" x14ac:dyDescent="0.2"/>
  <cols>
    <col min="1" max="1" width="6.25" style="20" customWidth="1"/>
    <col min="2" max="2" width="73.5" style="20" bestFit="1" customWidth="1"/>
    <col min="3" max="3" width="11.125" style="20" bestFit="1" customWidth="1"/>
    <col min="4" max="4" width="23.625" style="20" bestFit="1" customWidth="1"/>
    <col min="5" max="5" width="10" style="20" bestFit="1" customWidth="1"/>
    <col min="6" max="9" width="11" style="20"/>
    <col min="10" max="10" width="47.25" style="20" bestFit="1" customWidth="1"/>
    <col min="11" max="11" width="15.5" style="20" bestFit="1" customWidth="1"/>
    <col min="12" max="16384" width="11" style="20"/>
  </cols>
  <sheetData>
    <row r="1" spans="1:40" s="31" customFormat="1" x14ac:dyDescent="0.2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40" s="31" customFormat="1" x14ac:dyDescent="0.2">
      <c r="B2" s="33" t="s">
        <v>186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40" s="31" customFormat="1" x14ac:dyDescent="0.2">
      <c r="B3" s="32" t="str">
        <f>'[1]InstaPay QR'!B3</f>
        <v>31 December 2025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40" s="31" customFormat="1" x14ac:dyDescent="0.2">
      <c r="B4" s="31" t="s">
        <v>187</v>
      </c>
      <c r="C4" s="32"/>
      <c r="D4" s="32"/>
      <c r="E4" s="32"/>
      <c r="F4" s="32"/>
      <c r="M4" s="32"/>
      <c r="N4" s="32"/>
      <c r="O4" s="32"/>
      <c r="P4" s="32"/>
      <c r="Q4" s="32"/>
      <c r="R4" s="32"/>
      <c r="S4" s="32"/>
      <c r="AF4" s="32"/>
      <c r="AN4" s="32"/>
    </row>
    <row r="5" spans="1:40" s="31" customFormat="1" x14ac:dyDescent="0.2">
      <c r="C5" s="32"/>
      <c r="D5" s="32"/>
      <c r="E5" s="32"/>
      <c r="F5" s="32"/>
      <c r="M5" s="32"/>
      <c r="N5" s="32"/>
      <c r="O5" s="32"/>
      <c r="P5" s="32"/>
      <c r="Q5" s="32"/>
      <c r="R5" s="32"/>
      <c r="S5" s="32"/>
      <c r="AF5" s="32"/>
      <c r="AN5" s="32"/>
    </row>
    <row r="7" spans="1:40" ht="28.5" x14ac:dyDescent="0.2">
      <c r="A7" s="34"/>
      <c r="B7" s="35" t="s">
        <v>2</v>
      </c>
      <c r="D7" s="35" t="s">
        <v>145</v>
      </c>
      <c r="E7" s="36" t="s">
        <v>146</v>
      </c>
      <c r="F7" s="36" t="s">
        <v>147</v>
      </c>
      <c r="G7" s="36" t="s">
        <v>148</v>
      </c>
      <c r="H7" s="36" t="s">
        <v>19</v>
      </c>
      <c r="J7" s="76" t="s">
        <v>4</v>
      </c>
      <c r="K7" s="76"/>
      <c r="L7" s="76"/>
    </row>
    <row r="8" spans="1:40" x14ac:dyDescent="0.2">
      <c r="A8" s="37"/>
      <c r="B8" s="38" t="s">
        <v>149</v>
      </c>
      <c r="D8" s="30" t="s">
        <v>6</v>
      </c>
      <c r="E8" s="37">
        <v>15</v>
      </c>
      <c r="F8" s="37">
        <v>0</v>
      </c>
      <c r="G8" s="37">
        <v>1</v>
      </c>
      <c r="H8" s="39">
        <f>SUM(E8:G8)</f>
        <v>16</v>
      </c>
      <c r="J8" s="66" t="s">
        <v>7</v>
      </c>
      <c r="K8" s="66" t="s">
        <v>8</v>
      </c>
      <c r="L8" s="66" t="s">
        <v>9</v>
      </c>
    </row>
    <row r="9" spans="1:40" x14ac:dyDescent="0.2">
      <c r="A9" s="37">
        <v>1</v>
      </c>
      <c r="B9" s="30" t="s">
        <v>10</v>
      </c>
      <c r="D9" s="30" t="s">
        <v>11</v>
      </c>
      <c r="E9" s="37">
        <v>10</v>
      </c>
      <c r="F9" s="37">
        <v>1</v>
      </c>
      <c r="G9" s="37">
        <v>1</v>
      </c>
      <c r="H9" s="39">
        <f t="shared" ref="H9:H12" si="0">SUM(E9:G9)</f>
        <v>12</v>
      </c>
      <c r="J9" s="72" t="s">
        <v>174</v>
      </c>
      <c r="K9" s="73" t="s">
        <v>147</v>
      </c>
      <c r="L9" s="73" t="s">
        <v>188</v>
      </c>
    </row>
    <row r="10" spans="1:40" x14ac:dyDescent="0.2">
      <c r="A10" s="37">
        <f>A9+1</f>
        <v>2</v>
      </c>
      <c r="B10" s="30" t="s">
        <v>18</v>
      </c>
      <c r="D10" s="30" t="s">
        <v>13</v>
      </c>
      <c r="E10" s="37">
        <v>10</v>
      </c>
      <c r="F10" s="37">
        <v>0</v>
      </c>
      <c r="G10" s="37">
        <v>0</v>
      </c>
      <c r="H10" s="39">
        <f t="shared" si="0"/>
        <v>10</v>
      </c>
      <c r="J10" s="74"/>
      <c r="K10" s="73"/>
      <c r="L10" s="73"/>
    </row>
    <row r="11" spans="1:40" x14ac:dyDescent="0.2">
      <c r="A11" s="37">
        <f>A10+1</f>
        <v>3</v>
      </c>
      <c r="B11" s="30" t="s">
        <v>20</v>
      </c>
      <c r="D11" s="40" t="s">
        <v>15</v>
      </c>
      <c r="E11" s="37">
        <v>4</v>
      </c>
      <c r="F11" s="37">
        <v>0</v>
      </c>
      <c r="G11" s="37">
        <v>0</v>
      </c>
      <c r="H11" s="39">
        <f t="shared" si="0"/>
        <v>4</v>
      </c>
      <c r="J11" s="69"/>
      <c r="K11" s="69"/>
      <c r="L11" s="69"/>
    </row>
    <row r="12" spans="1:40" x14ac:dyDescent="0.2">
      <c r="A12" s="37">
        <f t="shared" ref="A12:A22" si="1">A11+1</f>
        <v>4</v>
      </c>
      <c r="B12" s="30" t="s">
        <v>21</v>
      </c>
      <c r="D12" s="40" t="s">
        <v>17</v>
      </c>
      <c r="E12" s="37">
        <v>14</v>
      </c>
      <c r="F12" s="37">
        <v>0</v>
      </c>
      <c r="G12" s="37">
        <v>4</v>
      </c>
      <c r="H12" s="39">
        <f t="shared" si="0"/>
        <v>18</v>
      </c>
      <c r="J12" s="69"/>
      <c r="K12" s="69"/>
      <c r="L12" s="69"/>
    </row>
    <row r="13" spans="1:40" x14ac:dyDescent="0.2">
      <c r="A13" s="37">
        <f t="shared" si="1"/>
        <v>5</v>
      </c>
      <c r="B13" s="30" t="s">
        <v>22</v>
      </c>
      <c r="D13" s="41" t="s">
        <v>19</v>
      </c>
      <c r="E13" s="39">
        <f>SUM(E8:E12)</f>
        <v>53</v>
      </c>
      <c r="F13" s="39">
        <f>SUM(F8:F12)</f>
        <v>1</v>
      </c>
      <c r="G13" s="39">
        <f>SUM(G8:G12)</f>
        <v>6</v>
      </c>
      <c r="H13" s="39">
        <f>SUM(H8:H12)</f>
        <v>60</v>
      </c>
      <c r="J13" s="69"/>
      <c r="K13" s="69"/>
      <c r="L13" s="69"/>
    </row>
    <row r="14" spans="1:40" x14ac:dyDescent="0.2">
      <c r="A14" s="37">
        <f t="shared" si="1"/>
        <v>6</v>
      </c>
      <c r="B14" s="30" t="s">
        <v>24</v>
      </c>
    </row>
    <row r="15" spans="1:40" x14ac:dyDescent="0.2">
      <c r="A15" s="37">
        <f t="shared" si="1"/>
        <v>7</v>
      </c>
      <c r="B15" s="30" t="s">
        <v>25</v>
      </c>
    </row>
    <row r="16" spans="1:40" x14ac:dyDescent="0.2">
      <c r="A16" s="37">
        <f t="shared" si="1"/>
        <v>8</v>
      </c>
      <c r="B16" s="30" t="s">
        <v>189</v>
      </c>
    </row>
    <row r="17" spans="1:9" x14ac:dyDescent="0.2">
      <c r="A17" s="37">
        <f t="shared" si="1"/>
        <v>9</v>
      </c>
      <c r="B17" s="20" t="s">
        <v>30</v>
      </c>
    </row>
    <row r="18" spans="1:9" x14ac:dyDescent="0.2">
      <c r="A18" s="37">
        <f t="shared" si="1"/>
        <v>10</v>
      </c>
      <c r="B18" s="30" t="s">
        <v>35</v>
      </c>
    </row>
    <row r="19" spans="1:9" x14ac:dyDescent="0.2">
      <c r="A19" s="37">
        <f t="shared" si="1"/>
        <v>11</v>
      </c>
      <c r="B19" s="30" t="s">
        <v>36</v>
      </c>
    </row>
    <row r="20" spans="1:9" x14ac:dyDescent="0.2">
      <c r="A20" s="37">
        <f t="shared" si="1"/>
        <v>12</v>
      </c>
      <c r="B20" s="30" t="s">
        <v>38</v>
      </c>
    </row>
    <row r="21" spans="1:9" x14ac:dyDescent="0.2">
      <c r="A21" s="37">
        <f t="shared" si="1"/>
        <v>13</v>
      </c>
      <c r="B21" s="30" t="s">
        <v>42</v>
      </c>
    </row>
    <row r="22" spans="1:9" x14ac:dyDescent="0.2">
      <c r="A22" s="37">
        <f t="shared" si="1"/>
        <v>14</v>
      </c>
      <c r="B22" s="30" t="s">
        <v>45</v>
      </c>
    </row>
    <row r="23" spans="1:9" x14ac:dyDescent="0.2">
      <c r="A23" s="37">
        <v>15</v>
      </c>
      <c r="B23" s="30" t="s">
        <v>52</v>
      </c>
    </row>
    <row r="24" spans="1:9" x14ac:dyDescent="0.2">
      <c r="A24" s="37"/>
      <c r="B24" s="30"/>
      <c r="I24" s="20" t="s">
        <v>75</v>
      </c>
    </row>
    <row r="25" spans="1:9" x14ac:dyDescent="0.2">
      <c r="A25" s="37"/>
      <c r="B25" s="38" t="s">
        <v>148</v>
      </c>
    </row>
    <row r="26" spans="1:9" x14ac:dyDescent="0.2">
      <c r="A26" s="37">
        <v>16</v>
      </c>
      <c r="B26" s="30" t="s">
        <v>49</v>
      </c>
    </row>
    <row r="27" spans="1:9" x14ac:dyDescent="0.2">
      <c r="B27" s="4"/>
    </row>
    <row r="28" spans="1:9" x14ac:dyDescent="0.2">
      <c r="B28" s="29"/>
    </row>
    <row r="29" spans="1:9" x14ac:dyDescent="0.2">
      <c r="A29" s="42"/>
      <c r="B29" s="35" t="s">
        <v>54</v>
      </c>
    </row>
    <row r="30" spans="1:9" x14ac:dyDescent="0.2">
      <c r="A30" s="37"/>
      <c r="B30" s="38" t="s">
        <v>149</v>
      </c>
    </row>
    <row r="31" spans="1:9" x14ac:dyDescent="0.2">
      <c r="A31" s="37">
        <v>1</v>
      </c>
      <c r="B31" s="30" t="s">
        <v>55</v>
      </c>
    </row>
    <row r="32" spans="1:9" x14ac:dyDescent="0.2">
      <c r="A32" s="37">
        <f t="shared" ref="A32:A39" si="2">A31+1</f>
        <v>2</v>
      </c>
      <c r="B32" s="30" t="s">
        <v>190</v>
      </c>
    </row>
    <row r="33" spans="1:2" x14ac:dyDescent="0.2">
      <c r="A33" s="37">
        <f t="shared" si="2"/>
        <v>3</v>
      </c>
      <c r="B33" s="43" t="s">
        <v>152</v>
      </c>
    </row>
    <row r="34" spans="1:2" x14ac:dyDescent="0.2">
      <c r="A34" s="37">
        <f t="shared" si="2"/>
        <v>4</v>
      </c>
      <c r="B34" s="30" t="s">
        <v>60</v>
      </c>
    </row>
    <row r="35" spans="1:2" x14ac:dyDescent="0.2">
      <c r="A35" s="37">
        <f t="shared" si="2"/>
        <v>5</v>
      </c>
      <c r="B35" s="30" t="s">
        <v>191</v>
      </c>
    </row>
    <row r="36" spans="1:2" x14ac:dyDescent="0.2">
      <c r="A36" s="37">
        <f t="shared" si="2"/>
        <v>6</v>
      </c>
      <c r="B36" s="30" t="s">
        <v>153</v>
      </c>
    </row>
    <row r="37" spans="1:2" x14ac:dyDescent="0.2">
      <c r="A37" s="37">
        <f t="shared" si="2"/>
        <v>7</v>
      </c>
      <c r="B37" s="30" t="s">
        <v>155</v>
      </c>
    </row>
    <row r="38" spans="1:2" x14ac:dyDescent="0.2">
      <c r="A38" s="37">
        <f t="shared" si="2"/>
        <v>8</v>
      </c>
      <c r="B38" s="30" t="s">
        <v>68</v>
      </c>
    </row>
    <row r="39" spans="1:2" x14ac:dyDescent="0.2">
      <c r="A39" s="37">
        <f t="shared" si="2"/>
        <v>9</v>
      </c>
      <c r="B39" s="30" t="s">
        <v>70</v>
      </c>
    </row>
    <row r="40" spans="1:2" x14ac:dyDescent="0.2">
      <c r="A40" s="37">
        <v>10</v>
      </c>
      <c r="B40" s="30" t="s">
        <v>71</v>
      </c>
    </row>
    <row r="41" spans="1:2" x14ac:dyDescent="0.2">
      <c r="A41" s="37"/>
      <c r="B41" s="30"/>
    </row>
    <row r="42" spans="1:2" x14ac:dyDescent="0.2">
      <c r="A42" s="37"/>
      <c r="B42" s="38" t="s">
        <v>147</v>
      </c>
    </row>
    <row r="43" spans="1:2" x14ac:dyDescent="0.2">
      <c r="A43" s="37">
        <v>11</v>
      </c>
      <c r="B43" s="30" t="s">
        <v>58</v>
      </c>
    </row>
    <row r="44" spans="1:2" x14ac:dyDescent="0.2">
      <c r="A44" s="37"/>
      <c r="B44" s="30"/>
    </row>
    <row r="45" spans="1:2" x14ac:dyDescent="0.2">
      <c r="A45" s="37"/>
      <c r="B45" s="38" t="s">
        <v>148</v>
      </c>
    </row>
    <row r="46" spans="1:2" x14ac:dyDescent="0.2">
      <c r="A46" s="37">
        <v>12</v>
      </c>
      <c r="B46" s="30" t="s">
        <v>157</v>
      </c>
    </row>
    <row r="48" spans="1:2" x14ac:dyDescent="0.2">
      <c r="B48" s="4"/>
    </row>
    <row r="49" spans="1:2" x14ac:dyDescent="0.2">
      <c r="A49" s="42"/>
      <c r="B49" s="35" t="s">
        <v>76</v>
      </c>
    </row>
    <row r="50" spans="1:2" x14ac:dyDescent="0.2">
      <c r="A50" s="37"/>
      <c r="B50" s="38" t="s">
        <v>149</v>
      </c>
    </row>
    <row r="51" spans="1:2" x14ac:dyDescent="0.2">
      <c r="A51" s="37">
        <v>1</v>
      </c>
      <c r="B51" s="30" t="s">
        <v>83</v>
      </c>
    </row>
    <row r="52" spans="1:2" x14ac:dyDescent="0.2">
      <c r="A52" s="37">
        <f t="shared" ref="A52:A60" si="3">A51+1</f>
        <v>2</v>
      </c>
      <c r="B52" s="30" t="s">
        <v>158</v>
      </c>
    </row>
    <row r="53" spans="1:2" x14ac:dyDescent="0.2">
      <c r="A53" s="37">
        <f t="shared" si="3"/>
        <v>3</v>
      </c>
      <c r="B53" s="43" t="s">
        <v>159</v>
      </c>
    </row>
    <row r="54" spans="1:2" x14ac:dyDescent="0.2">
      <c r="A54" s="37">
        <f t="shared" si="3"/>
        <v>4</v>
      </c>
      <c r="B54" s="30" t="s">
        <v>85</v>
      </c>
    </row>
    <row r="55" spans="1:2" x14ac:dyDescent="0.2">
      <c r="A55" s="37">
        <f t="shared" si="3"/>
        <v>5</v>
      </c>
      <c r="B55" s="30" t="s">
        <v>88</v>
      </c>
    </row>
    <row r="56" spans="1:2" ht="15" customHeight="1" x14ac:dyDescent="0.2">
      <c r="A56" s="37">
        <f t="shared" si="3"/>
        <v>6</v>
      </c>
      <c r="B56" s="30" t="s">
        <v>192</v>
      </c>
    </row>
    <row r="57" spans="1:2" x14ac:dyDescent="0.2">
      <c r="A57" s="37">
        <f t="shared" si="3"/>
        <v>7</v>
      </c>
      <c r="B57" s="30" t="s">
        <v>161</v>
      </c>
    </row>
    <row r="58" spans="1:2" x14ac:dyDescent="0.2">
      <c r="A58" s="37">
        <f t="shared" si="3"/>
        <v>8</v>
      </c>
      <c r="B58" s="30" t="s">
        <v>97</v>
      </c>
    </row>
    <row r="59" spans="1:2" x14ac:dyDescent="0.2">
      <c r="A59" s="37">
        <f t="shared" si="3"/>
        <v>9</v>
      </c>
      <c r="B59" s="30" t="s">
        <v>99</v>
      </c>
    </row>
    <row r="60" spans="1:2" ht="15" customHeight="1" x14ac:dyDescent="0.2">
      <c r="A60" s="37">
        <f t="shared" si="3"/>
        <v>10</v>
      </c>
      <c r="B60" s="30" t="s">
        <v>106</v>
      </c>
    </row>
    <row r="61" spans="1:2" ht="17.25" customHeight="1" x14ac:dyDescent="0.2">
      <c r="B61" s="4"/>
    </row>
    <row r="63" spans="1:2" x14ac:dyDescent="0.2">
      <c r="A63" s="42"/>
      <c r="B63" s="35" t="s">
        <v>123</v>
      </c>
    </row>
    <row r="64" spans="1:2" x14ac:dyDescent="0.2">
      <c r="A64" s="37"/>
      <c r="B64" s="38" t="s">
        <v>149</v>
      </c>
    </row>
    <row r="65" spans="1:2" x14ac:dyDescent="0.2">
      <c r="A65" s="37">
        <v>1</v>
      </c>
      <c r="B65" s="30" t="s">
        <v>124</v>
      </c>
    </row>
    <row r="66" spans="1:2" x14ac:dyDescent="0.2">
      <c r="A66" s="37">
        <f>A65+1</f>
        <v>2</v>
      </c>
      <c r="B66" s="30" t="s">
        <v>126</v>
      </c>
    </row>
    <row r="67" spans="1:2" x14ac:dyDescent="0.2">
      <c r="A67" s="37">
        <f>A66+1</f>
        <v>3</v>
      </c>
      <c r="B67" s="30" t="s">
        <v>127</v>
      </c>
    </row>
    <row r="68" spans="1:2" x14ac:dyDescent="0.2">
      <c r="A68" s="37">
        <f>A67+1</f>
        <v>4</v>
      </c>
      <c r="B68" s="30" t="s">
        <v>128</v>
      </c>
    </row>
    <row r="69" spans="1:2" x14ac:dyDescent="0.2">
      <c r="B69" s="4"/>
    </row>
    <row r="71" spans="1:2" x14ac:dyDescent="0.2">
      <c r="A71" s="44"/>
      <c r="B71" s="35" t="s">
        <v>129</v>
      </c>
    </row>
    <row r="72" spans="1:2" x14ac:dyDescent="0.2">
      <c r="A72" s="37"/>
      <c r="B72" s="38" t="s">
        <v>149</v>
      </c>
    </row>
    <row r="73" spans="1:2" x14ac:dyDescent="0.2">
      <c r="A73" s="37">
        <v>1</v>
      </c>
      <c r="B73" s="30" t="s">
        <v>166</v>
      </c>
    </row>
    <row r="74" spans="1:2" x14ac:dyDescent="0.2">
      <c r="A74" s="37">
        <f t="shared" ref="A74:A86" si="4">A73+1</f>
        <v>2</v>
      </c>
      <c r="B74" s="30" t="s">
        <v>130</v>
      </c>
    </row>
    <row r="75" spans="1:2" x14ac:dyDescent="0.2">
      <c r="A75" s="37">
        <f t="shared" si="4"/>
        <v>3</v>
      </c>
      <c r="B75" s="30" t="s">
        <v>133</v>
      </c>
    </row>
    <row r="76" spans="1:2" x14ac:dyDescent="0.2">
      <c r="A76" s="37">
        <f t="shared" si="4"/>
        <v>4</v>
      </c>
      <c r="B76" s="30" t="s">
        <v>193</v>
      </c>
    </row>
    <row r="77" spans="1:2" x14ac:dyDescent="0.2">
      <c r="A77" s="37">
        <f t="shared" si="4"/>
        <v>5</v>
      </c>
      <c r="B77" s="30" t="s">
        <v>135</v>
      </c>
    </row>
    <row r="78" spans="1:2" x14ac:dyDescent="0.2">
      <c r="A78" s="37">
        <f t="shared" si="4"/>
        <v>6</v>
      </c>
      <c r="B78" s="30" t="s">
        <v>194</v>
      </c>
    </row>
    <row r="79" spans="1:2" x14ac:dyDescent="0.2">
      <c r="A79" s="37">
        <f t="shared" si="4"/>
        <v>7</v>
      </c>
      <c r="B79" s="30" t="s">
        <v>138</v>
      </c>
    </row>
    <row r="80" spans="1:2" x14ac:dyDescent="0.2">
      <c r="A80" s="37">
        <f t="shared" si="4"/>
        <v>8</v>
      </c>
      <c r="B80" s="30" t="s">
        <v>177</v>
      </c>
    </row>
    <row r="81" spans="1:2" x14ac:dyDescent="0.2">
      <c r="A81" s="37">
        <f t="shared" si="4"/>
        <v>9</v>
      </c>
      <c r="B81" s="30" t="s">
        <v>178</v>
      </c>
    </row>
    <row r="82" spans="1:2" x14ac:dyDescent="0.2">
      <c r="A82" s="37">
        <f t="shared" si="4"/>
        <v>10</v>
      </c>
      <c r="B82" s="30" t="s">
        <v>179</v>
      </c>
    </row>
    <row r="83" spans="1:2" x14ac:dyDescent="0.2">
      <c r="A83" s="37">
        <f t="shared" si="4"/>
        <v>11</v>
      </c>
      <c r="B83" s="30" t="s">
        <v>140</v>
      </c>
    </row>
    <row r="84" spans="1:2" x14ac:dyDescent="0.2">
      <c r="A84" s="37">
        <f t="shared" si="4"/>
        <v>12</v>
      </c>
      <c r="B84" s="30" t="s">
        <v>183</v>
      </c>
    </row>
    <row r="85" spans="1:2" x14ac:dyDescent="0.2">
      <c r="A85" s="37">
        <f t="shared" si="4"/>
        <v>13</v>
      </c>
      <c r="B85" s="30" t="s">
        <v>141</v>
      </c>
    </row>
    <row r="86" spans="1:2" x14ac:dyDescent="0.2">
      <c r="A86" s="37">
        <f t="shared" si="4"/>
        <v>14</v>
      </c>
      <c r="B86" s="30" t="s">
        <v>184</v>
      </c>
    </row>
    <row r="87" spans="1:2" x14ac:dyDescent="0.2">
      <c r="A87" s="37"/>
      <c r="B87" s="30"/>
    </row>
    <row r="88" spans="1:2" x14ac:dyDescent="0.2">
      <c r="A88" s="37"/>
      <c r="B88" s="38" t="s">
        <v>148</v>
      </c>
    </row>
    <row r="89" spans="1:2" x14ac:dyDescent="0.2">
      <c r="A89" s="37">
        <v>15</v>
      </c>
      <c r="B89" s="30" t="s">
        <v>132</v>
      </c>
    </row>
    <row r="90" spans="1:2" x14ac:dyDescent="0.2">
      <c r="A90" s="37">
        <v>16</v>
      </c>
      <c r="B90" s="30" t="s">
        <v>170</v>
      </c>
    </row>
    <row r="91" spans="1:2" x14ac:dyDescent="0.2">
      <c r="A91" s="37">
        <v>17</v>
      </c>
      <c r="B91" s="30" t="s">
        <v>174</v>
      </c>
    </row>
    <row r="92" spans="1:2" x14ac:dyDescent="0.2">
      <c r="A92" s="37">
        <v>18</v>
      </c>
      <c r="B92" s="30" t="s">
        <v>150</v>
      </c>
    </row>
  </sheetData>
  <mergeCells count="1">
    <mergeCell ref="J7:L7"/>
  </mergeCells>
  <pageMargins left="0.75" right="0.75" top="1" bottom="1" header="0.5" footer="0.5"/>
  <pageSetup orientation="portrait" horizontalDpi="4294967292" verticalDpi="4294967292" r:id="rId1"/>
  <headerFooter>
    <oddFooter>&amp;L_x000D_&amp;1#&amp;"Calibri"&amp;11&amp;K000000 Classification: GENERAL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4C65-2EB8-4DB2-9C14-9AF105D58A58}">
  <sheetPr codeName="Sheet10">
    <tabColor theme="6"/>
  </sheetPr>
  <dimension ref="A1:C50"/>
  <sheetViews>
    <sheetView topLeftCell="A28" workbookViewId="0">
      <selection activeCell="G46" sqref="G46"/>
    </sheetView>
  </sheetViews>
  <sheetFormatPr defaultRowHeight="15.75" x14ac:dyDescent="0.25"/>
  <cols>
    <col min="1" max="1" width="49.875" customWidth="1"/>
    <col min="2" max="2" width="38.375" customWidth="1"/>
    <col min="3" max="3" width="17.25" customWidth="1"/>
  </cols>
  <sheetData>
    <row r="1" spans="1:3" s="83" customFormat="1" x14ac:dyDescent="0.25">
      <c r="A1" s="83" t="s">
        <v>196</v>
      </c>
      <c r="B1" s="83" t="s">
        <v>220</v>
      </c>
      <c r="C1" s="84">
        <v>46022</v>
      </c>
    </row>
    <row r="2" spans="1:3" s="85" customFormat="1" x14ac:dyDescent="0.25">
      <c r="A2" s="85" t="s">
        <v>219</v>
      </c>
      <c r="B2" s="85" t="s">
        <v>222</v>
      </c>
      <c r="C2" s="85" t="s">
        <v>221</v>
      </c>
    </row>
    <row r="3" spans="1:3" x14ac:dyDescent="0.25">
      <c r="A3" t="s">
        <v>10</v>
      </c>
      <c r="B3" t="s">
        <v>2</v>
      </c>
      <c r="C3" t="s">
        <v>149</v>
      </c>
    </row>
    <row r="4" spans="1:3" x14ac:dyDescent="0.25">
      <c r="A4" t="s">
        <v>21</v>
      </c>
      <c r="B4" t="s">
        <v>2</v>
      </c>
      <c r="C4" t="s">
        <v>149</v>
      </c>
    </row>
    <row r="5" spans="1:3" x14ac:dyDescent="0.25">
      <c r="A5" t="s">
        <v>22</v>
      </c>
      <c r="B5" t="s">
        <v>2</v>
      </c>
      <c r="C5" t="s">
        <v>149</v>
      </c>
    </row>
    <row r="6" spans="1:3" x14ac:dyDescent="0.25">
      <c r="A6" t="s">
        <v>35</v>
      </c>
      <c r="B6" t="s">
        <v>2</v>
      </c>
      <c r="C6" t="s">
        <v>149</v>
      </c>
    </row>
    <row r="7" spans="1:3" x14ac:dyDescent="0.25">
      <c r="A7" t="s">
        <v>38</v>
      </c>
      <c r="B7" t="s">
        <v>2</v>
      </c>
      <c r="C7" t="s">
        <v>149</v>
      </c>
    </row>
    <row r="8" spans="1:3" x14ac:dyDescent="0.25">
      <c r="A8" t="s">
        <v>42</v>
      </c>
      <c r="B8" t="s">
        <v>2</v>
      </c>
      <c r="C8" t="s">
        <v>149</v>
      </c>
    </row>
    <row r="9" spans="1:3" x14ac:dyDescent="0.25">
      <c r="A9" t="s">
        <v>45</v>
      </c>
      <c r="B9" t="s">
        <v>2</v>
      </c>
      <c r="C9" t="s">
        <v>149</v>
      </c>
    </row>
    <row r="10" spans="1:3" x14ac:dyDescent="0.25">
      <c r="A10" t="s">
        <v>47</v>
      </c>
      <c r="B10" t="s">
        <v>2</v>
      </c>
      <c r="C10" t="s">
        <v>149</v>
      </c>
    </row>
    <row r="11" spans="1:3" x14ac:dyDescent="0.25">
      <c r="A11" t="s">
        <v>52</v>
      </c>
      <c r="B11" t="s">
        <v>2</v>
      </c>
      <c r="C11" t="s">
        <v>149</v>
      </c>
    </row>
    <row r="12" spans="1:3" x14ac:dyDescent="0.25">
      <c r="A12" t="s">
        <v>20</v>
      </c>
      <c r="B12" t="s">
        <v>2</v>
      </c>
      <c r="C12" t="s">
        <v>147</v>
      </c>
    </row>
    <row r="13" spans="1:3" x14ac:dyDescent="0.25">
      <c r="A13" t="s">
        <v>24</v>
      </c>
      <c r="B13" t="s">
        <v>2</v>
      </c>
      <c r="C13" t="s">
        <v>147</v>
      </c>
    </row>
    <row r="14" spans="1:3" x14ac:dyDescent="0.25">
      <c r="A14" t="s">
        <v>25</v>
      </c>
      <c r="B14" t="s">
        <v>2</v>
      </c>
      <c r="C14" t="s">
        <v>147</v>
      </c>
    </row>
    <row r="15" spans="1:3" x14ac:dyDescent="0.25">
      <c r="A15" t="s">
        <v>49</v>
      </c>
      <c r="B15" t="s">
        <v>2</v>
      </c>
      <c r="C15" t="s">
        <v>148</v>
      </c>
    </row>
    <row r="16" spans="1:3" x14ac:dyDescent="0.25">
      <c r="A16" t="s">
        <v>55</v>
      </c>
      <c r="B16" t="s">
        <v>54</v>
      </c>
      <c r="C16" t="s">
        <v>149</v>
      </c>
    </row>
    <row r="17" spans="1:3" x14ac:dyDescent="0.25">
      <c r="A17" t="s">
        <v>152</v>
      </c>
      <c r="B17" t="s">
        <v>54</v>
      </c>
      <c r="C17" t="s">
        <v>149</v>
      </c>
    </row>
    <row r="18" spans="1:3" x14ac:dyDescent="0.25">
      <c r="A18" t="s">
        <v>70</v>
      </c>
      <c r="B18" t="s">
        <v>54</v>
      </c>
      <c r="C18" t="s">
        <v>149</v>
      </c>
    </row>
    <row r="19" spans="1:3" x14ac:dyDescent="0.25">
      <c r="A19" t="s">
        <v>73</v>
      </c>
      <c r="B19" t="s">
        <v>54</v>
      </c>
      <c r="C19" t="s">
        <v>149</v>
      </c>
    </row>
    <row r="20" spans="1:3" x14ac:dyDescent="0.25">
      <c r="A20" t="s">
        <v>68</v>
      </c>
      <c r="B20" t="s">
        <v>54</v>
      </c>
      <c r="C20" t="s">
        <v>147</v>
      </c>
    </row>
    <row r="21" spans="1:3" x14ac:dyDescent="0.25">
      <c r="A21" t="s">
        <v>71</v>
      </c>
      <c r="B21" t="s">
        <v>54</v>
      </c>
      <c r="C21" t="s">
        <v>147</v>
      </c>
    </row>
    <row r="22" spans="1:3" x14ac:dyDescent="0.25">
      <c r="A22" t="s">
        <v>85</v>
      </c>
      <c r="B22" t="s">
        <v>76</v>
      </c>
      <c r="C22" t="s">
        <v>149</v>
      </c>
    </row>
    <row r="23" spans="1:3" x14ac:dyDescent="0.25">
      <c r="A23" t="s">
        <v>97</v>
      </c>
      <c r="B23" t="s">
        <v>76</v>
      </c>
      <c r="C23" t="s">
        <v>149</v>
      </c>
    </row>
    <row r="24" spans="1:3" x14ac:dyDescent="0.25">
      <c r="A24" t="s">
        <v>99</v>
      </c>
      <c r="B24" t="s">
        <v>76</v>
      </c>
      <c r="C24" t="s">
        <v>149</v>
      </c>
    </row>
    <row r="25" spans="1:3" x14ac:dyDescent="0.25">
      <c r="A25" t="s">
        <v>106</v>
      </c>
      <c r="B25" t="s">
        <v>76</v>
      </c>
      <c r="C25" t="s">
        <v>149</v>
      </c>
    </row>
    <row r="26" spans="1:3" x14ac:dyDescent="0.25">
      <c r="A26" t="s">
        <v>88</v>
      </c>
      <c r="B26" t="s">
        <v>76</v>
      </c>
      <c r="C26" t="s">
        <v>147</v>
      </c>
    </row>
    <row r="27" spans="1:3" x14ac:dyDescent="0.25">
      <c r="A27" t="s">
        <v>192</v>
      </c>
      <c r="B27" t="s">
        <v>76</v>
      </c>
      <c r="C27" t="s">
        <v>147</v>
      </c>
    </row>
    <row r="28" spans="1:3" x14ac:dyDescent="0.25">
      <c r="A28" t="s">
        <v>121</v>
      </c>
      <c r="B28" t="s">
        <v>76</v>
      </c>
      <c r="C28" t="s">
        <v>148</v>
      </c>
    </row>
    <row r="29" spans="1:3" x14ac:dyDescent="0.25">
      <c r="A29" t="s">
        <v>197</v>
      </c>
      <c r="B29" t="s">
        <v>123</v>
      </c>
      <c r="C29" t="s">
        <v>147</v>
      </c>
    </row>
    <row r="30" spans="1:3" x14ac:dyDescent="0.25">
      <c r="A30" t="s">
        <v>126</v>
      </c>
      <c r="B30" t="s">
        <v>123</v>
      </c>
      <c r="C30" t="s">
        <v>147</v>
      </c>
    </row>
    <row r="31" spans="1:3" x14ac:dyDescent="0.25">
      <c r="A31" t="s">
        <v>127</v>
      </c>
      <c r="B31" t="s">
        <v>123</v>
      </c>
      <c r="C31" t="s">
        <v>147</v>
      </c>
    </row>
    <row r="32" spans="1:3" x14ac:dyDescent="0.25">
      <c r="A32" t="s">
        <v>128</v>
      </c>
      <c r="B32" t="s">
        <v>123</v>
      </c>
      <c r="C32" t="s">
        <v>147</v>
      </c>
    </row>
    <row r="33" spans="1:3" x14ac:dyDescent="0.25">
      <c r="A33" t="s">
        <v>166</v>
      </c>
      <c r="B33" t="s">
        <v>129</v>
      </c>
      <c r="C33" t="s">
        <v>149</v>
      </c>
    </row>
    <row r="34" spans="1:3" x14ac:dyDescent="0.25">
      <c r="A34" t="s">
        <v>198</v>
      </c>
      <c r="B34" t="s">
        <v>129</v>
      </c>
      <c r="C34" t="s">
        <v>149</v>
      </c>
    </row>
    <row r="35" spans="1:3" x14ac:dyDescent="0.25">
      <c r="A35" t="s">
        <v>131</v>
      </c>
      <c r="B35" t="s">
        <v>129</v>
      </c>
      <c r="C35" t="s">
        <v>149</v>
      </c>
    </row>
    <row r="36" spans="1:3" x14ac:dyDescent="0.25">
      <c r="A36" t="s">
        <v>169</v>
      </c>
      <c r="B36" t="s">
        <v>129</v>
      </c>
      <c r="C36" t="s">
        <v>149</v>
      </c>
    </row>
    <row r="37" spans="1:3" x14ac:dyDescent="0.25">
      <c r="A37" t="s">
        <v>133</v>
      </c>
      <c r="B37" t="s">
        <v>129</v>
      </c>
      <c r="C37" t="s">
        <v>149</v>
      </c>
    </row>
    <row r="38" spans="1:3" x14ac:dyDescent="0.25">
      <c r="A38" t="s">
        <v>171</v>
      </c>
      <c r="B38" t="s">
        <v>129</v>
      </c>
      <c r="C38" t="s">
        <v>149</v>
      </c>
    </row>
    <row r="39" spans="1:3" x14ac:dyDescent="0.25">
      <c r="A39" t="s">
        <v>135</v>
      </c>
      <c r="B39" t="s">
        <v>129</v>
      </c>
      <c r="C39" t="s">
        <v>149</v>
      </c>
    </row>
    <row r="40" spans="1:3" x14ac:dyDescent="0.25">
      <c r="A40" t="s">
        <v>173</v>
      </c>
      <c r="B40" t="s">
        <v>129</v>
      </c>
      <c r="C40" t="s">
        <v>149</v>
      </c>
    </row>
    <row r="41" spans="1:3" x14ac:dyDescent="0.25">
      <c r="A41" t="s">
        <v>174</v>
      </c>
      <c r="B41" t="s">
        <v>129</v>
      </c>
      <c r="C41" t="s">
        <v>149</v>
      </c>
    </row>
    <row r="42" spans="1:3" x14ac:dyDescent="0.25">
      <c r="A42" t="s">
        <v>199</v>
      </c>
      <c r="B42" t="s">
        <v>129</v>
      </c>
      <c r="C42" t="s">
        <v>149</v>
      </c>
    </row>
    <row r="43" spans="1:3" x14ac:dyDescent="0.25">
      <c r="A43" t="s">
        <v>177</v>
      </c>
      <c r="B43" t="s">
        <v>129</v>
      </c>
      <c r="C43" t="s">
        <v>149</v>
      </c>
    </row>
    <row r="44" spans="1:3" x14ac:dyDescent="0.25">
      <c r="A44" t="s">
        <v>178</v>
      </c>
      <c r="B44" t="s">
        <v>129</v>
      </c>
      <c r="C44" t="s">
        <v>149</v>
      </c>
    </row>
    <row r="45" spans="1:3" x14ac:dyDescent="0.25">
      <c r="A45" t="s">
        <v>200</v>
      </c>
      <c r="B45" t="s">
        <v>129</v>
      </c>
      <c r="C45" t="s">
        <v>149</v>
      </c>
    </row>
    <row r="46" spans="1:3" x14ac:dyDescent="0.25">
      <c r="A46" t="s">
        <v>140</v>
      </c>
      <c r="B46" t="s">
        <v>129</v>
      </c>
      <c r="C46" t="s">
        <v>149</v>
      </c>
    </row>
    <row r="47" spans="1:3" x14ac:dyDescent="0.25">
      <c r="A47" t="s">
        <v>183</v>
      </c>
      <c r="B47" t="s">
        <v>129</v>
      </c>
      <c r="C47" t="s">
        <v>149</v>
      </c>
    </row>
    <row r="48" spans="1:3" x14ac:dyDescent="0.25">
      <c r="A48" t="s">
        <v>141</v>
      </c>
      <c r="B48" t="s">
        <v>129</v>
      </c>
      <c r="C48" t="s">
        <v>149</v>
      </c>
    </row>
    <row r="49" spans="1:3" x14ac:dyDescent="0.25">
      <c r="A49" t="s">
        <v>184</v>
      </c>
      <c r="B49" t="s">
        <v>129</v>
      </c>
      <c r="C49" t="s">
        <v>149</v>
      </c>
    </row>
    <row r="50" spans="1:3" x14ac:dyDescent="0.25">
      <c r="A50" t="s">
        <v>170</v>
      </c>
      <c r="B50" t="s">
        <v>129</v>
      </c>
      <c r="C50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FB59-CAB1-4B4D-B4E0-2D5DDCD24577}">
  <sheetPr codeName="Sheet5">
    <tabColor theme="7"/>
  </sheetPr>
  <dimension ref="A1:AN83"/>
  <sheetViews>
    <sheetView showGridLines="0" topLeftCell="A53" zoomScaleNormal="100" workbookViewId="0">
      <selection activeCell="B82" sqref="B82"/>
    </sheetView>
  </sheetViews>
  <sheetFormatPr defaultColWidth="11" defaultRowHeight="14.25" x14ac:dyDescent="0.2"/>
  <cols>
    <col min="1" max="1" width="4.375" style="20" customWidth="1"/>
    <col min="2" max="2" width="73.5" style="20" bestFit="1" customWidth="1"/>
    <col min="3" max="3" width="11.125" style="20" bestFit="1" customWidth="1"/>
    <col min="4" max="4" width="23.625" style="20" bestFit="1" customWidth="1"/>
    <col min="5" max="5" width="10" style="20" bestFit="1" customWidth="1"/>
    <col min="6" max="9" width="11" style="20"/>
    <col min="10" max="10" width="51.625" style="20" bestFit="1" customWidth="1"/>
    <col min="11" max="11" width="14.5" style="20" bestFit="1" customWidth="1"/>
    <col min="12" max="12" width="16.375" style="20" bestFit="1" customWidth="1"/>
    <col min="13" max="16384" width="11" style="20"/>
  </cols>
  <sheetData>
    <row r="1" spans="1:40" s="45" customFormat="1" x14ac:dyDescent="0.2"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40" s="45" customFormat="1" ht="18" x14ac:dyDescent="0.25">
      <c r="B2" s="47" t="s">
        <v>195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spans="1:40" s="45" customFormat="1" x14ac:dyDescent="0.2">
      <c r="B3" s="46" t="str">
        <f>'[1]QR Ph P2M'!B3</f>
        <v>31 December 2025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40" s="45" customFormat="1" x14ac:dyDescent="0.2">
      <c r="B4" s="45" t="s">
        <v>187</v>
      </c>
      <c r="C4" s="46"/>
      <c r="D4" s="46"/>
      <c r="E4" s="46"/>
      <c r="F4" s="46"/>
      <c r="M4" s="46"/>
      <c r="N4" s="46"/>
      <c r="O4" s="46"/>
      <c r="P4" s="46"/>
      <c r="Q4" s="46"/>
      <c r="R4" s="46"/>
      <c r="S4" s="46"/>
      <c r="AF4" s="46"/>
      <c r="AN4" s="46"/>
    </row>
    <row r="5" spans="1:40" s="45" customFormat="1" x14ac:dyDescent="0.2">
      <c r="C5" s="46"/>
      <c r="D5" s="46"/>
      <c r="E5" s="46"/>
      <c r="F5" s="46"/>
      <c r="M5" s="46"/>
      <c r="N5" s="46"/>
      <c r="O5" s="46"/>
      <c r="P5" s="46"/>
      <c r="Q5" s="46"/>
      <c r="R5" s="46"/>
      <c r="S5" s="46"/>
      <c r="AF5" s="46"/>
      <c r="AN5" s="46"/>
    </row>
    <row r="7" spans="1:40" s="49" customFormat="1" ht="28.5" x14ac:dyDescent="0.25">
      <c r="A7" s="48"/>
      <c r="B7" s="35" t="s">
        <v>2</v>
      </c>
      <c r="D7" s="35" t="s">
        <v>196</v>
      </c>
      <c r="E7" s="35" t="s">
        <v>146</v>
      </c>
      <c r="F7" s="35" t="s">
        <v>147</v>
      </c>
      <c r="G7" s="35" t="s">
        <v>148</v>
      </c>
      <c r="H7" s="35" t="s">
        <v>19</v>
      </c>
      <c r="J7" s="76"/>
      <c r="K7" s="76"/>
      <c r="L7" s="76"/>
    </row>
    <row r="8" spans="1:40" x14ac:dyDescent="0.2">
      <c r="A8" s="37"/>
      <c r="B8" s="38" t="s">
        <v>149</v>
      </c>
      <c r="D8" s="30" t="s">
        <v>6</v>
      </c>
      <c r="E8" s="37">
        <v>9</v>
      </c>
      <c r="F8" s="37">
        <v>3</v>
      </c>
      <c r="G8" s="37">
        <v>1</v>
      </c>
      <c r="H8" s="39">
        <f t="shared" ref="H8:H13" si="0">SUM(E8:G8)</f>
        <v>13</v>
      </c>
      <c r="J8" s="66"/>
      <c r="K8" s="66"/>
      <c r="L8" s="66"/>
    </row>
    <row r="9" spans="1:40" x14ac:dyDescent="0.2">
      <c r="A9" s="37">
        <v>1</v>
      </c>
      <c r="B9" s="30" t="s">
        <v>10</v>
      </c>
      <c r="D9" s="30" t="s">
        <v>11</v>
      </c>
      <c r="E9" s="37">
        <v>4</v>
      </c>
      <c r="F9" s="37">
        <v>2</v>
      </c>
      <c r="G9" s="37">
        <v>0</v>
      </c>
      <c r="H9" s="39">
        <f t="shared" si="0"/>
        <v>6</v>
      </c>
      <c r="J9" s="69"/>
      <c r="K9" s="73"/>
      <c r="L9" s="73"/>
    </row>
    <row r="10" spans="1:40" x14ac:dyDescent="0.2">
      <c r="A10" s="37">
        <f>A9+1</f>
        <v>2</v>
      </c>
      <c r="B10" s="30" t="s">
        <v>21</v>
      </c>
      <c r="D10" s="30" t="s">
        <v>13</v>
      </c>
      <c r="E10" s="37">
        <v>4</v>
      </c>
      <c r="F10" s="37">
        <v>2</v>
      </c>
      <c r="G10" s="37">
        <v>1</v>
      </c>
      <c r="H10" s="39">
        <f t="shared" si="0"/>
        <v>7</v>
      </c>
      <c r="J10" s="69"/>
      <c r="K10" s="73"/>
      <c r="L10" s="73"/>
    </row>
    <row r="11" spans="1:40" x14ac:dyDescent="0.2">
      <c r="A11" s="37">
        <f>A10+1</f>
        <v>3</v>
      </c>
      <c r="B11" s="30" t="s">
        <v>22</v>
      </c>
      <c r="D11" s="40" t="s">
        <v>15</v>
      </c>
      <c r="E11" s="37">
        <v>0</v>
      </c>
      <c r="F11" s="37">
        <v>4</v>
      </c>
      <c r="G11" s="37">
        <v>0</v>
      </c>
      <c r="H11" s="39">
        <f t="shared" si="0"/>
        <v>4</v>
      </c>
      <c r="J11" s="69"/>
      <c r="K11" s="73"/>
      <c r="L11" s="73"/>
    </row>
    <row r="12" spans="1:40" x14ac:dyDescent="0.2">
      <c r="A12" s="37">
        <f t="shared" ref="A12:A17" si="1">A11+1</f>
        <v>4</v>
      </c>
      <c r="B12" s="30" t="s">
        <v>35</v>
      </c>
      <c r="D12" s="40" t="s">
        <v>17</v>
      </c>
      <c r="E12" s="37">
        <v>17</v>
      </c>
      <c r="F12" s="37">
        <v>0</v>
      </c>
      <c r="G12" s="37">
        <v>1</v>
      </c>
      <c r="H12" s="39">
        <f t="shared" si="0"/>
        <v>18</v>
      </c>
      <c r="J12" s="75"/>
      <c r="K12" s="73"/>
      <c r="L12" s="73"/>
    </row>
    <row r="13" spans="1:40" x14ac:dyDescent="0.2">
      <c r="A13" s="37">
        <f t="shared" si="1"/>
        <v>5</v>
      </c>
      <c r="B13" s="30" t="s">
        <v>38</v>
      </c>
      <c r="D13" s="41" t="s">
        <v>19</v>
      </c>
      <c r="E13" s="39">
        <f>SUM(E8:E12)</f>
        <v>34</v>
      </c>
      <c r="F13" s="39">
        <f>SUM(F8:F12)</f>
        <v>11</v>
      </c>
      <c r="G13" s="39">
        <f>SUM(G8:G12)</f>
        <v>3</v>
      </c>
      <c r="H13" s="39">
        <f t="shared" si="0"/>
        <v>48</v>
      </c>
      <c r="J13" s="69"/>
      <c r="K13" s="69"/>
      <c r="L13" s="69"/>
    </row>
    <row r="14" spans="1:40" x14ac:dyDescent="0.2">
      <c r="A14" s="37">
        <f t="shared" si="1"/>
        <v>6</v>
      </c>
      <c r="B14" s="30" t="s">
        <v>42</v>
      </c>
      <c r="J14" s="69"/>
      <c r="K14" s="69"/>
      <c r="L14" s="69"/>
    </row>
    <row r="15" spans="1:40" x14ac:dyDescent="0.2">
      <c r="A15" s="37">
        <f t="shared" si="1"/>
        <v>7</v>
      </c>
      <c r="B15" s="30" t="s">
        <v>45</v>
      </c>
      <c r="J15" s="69"/>
      <c r="K15" s="69"/>
      <c r="L15" s="69"/>
    </row>
    <row r="16" spans="1:40" x14ac:dyDescent="0.2">
      <c r="A16" s="37">
        <f t="shared" si="1"/>
        <v>8</v>
      </c>
      <c r="B16" s="30" t="s">
        <v>47</v>
      </c>
    </row>
    <row r="17" spans="1:2" x14ac:dyDescent="0.2">
      <c r="A17" s="37">
        <f t="shared" si="1"/>
        <v>9</v>
      </c>
      <c r="B17" s="30" t="s">
        <v>52</v>
      </c>
    </row>
    <row r="18" spans="1:2" x14ac:dyDescent="0.2">
      <c r="A18" s="37"/>
      <c r="B18" s="30"/>
    </row>
    <row r="19" spans="1:2" x14ac:dyDescent="0.2">
      <c r="A19" s="37"/>
      <c r="B19" s="38" t="s">
        <v>147</v>
      </c>
    </row>
    <row r="20" spans="1:2" x14ac:dyDescent="0.2">
      <c r="A20" s="37">
        <v>10</v>
      </c>
      <c r="B20" s="30" t="s">
        <v>20</v>
      </c>
    </row>
    <row r="21" spans="1:2" x14ac:dyDescent="0.2">
      <c r="A21" s="37">
        <v>11</v>
      </c>
      <c r="B21" s="30" t="s">
        <v>24</v>
      </c>
    </row>
    <row r="22" spans="1:2" x14ac:dyDescent="0.2">
      <c r="A22" s="37">
        <v>12</v>
      </c>
      <c r="B22" s="30" t="s">
        <v>25</v>
      </c>
    </row>
    <row r="23" spans="1:2" x14ac:dyDescent="0.2">
      <c r="A23" s="37"/>
      <c r="B23" s="30"/>
    </row>
    <row r="24" spans="1:2" x14ac:dyDescent="0.2">
      <c r="A24" s="37"/>
      <c r="B24" s="38" t="s">
        <v>148</v>
      </c>
    </row>
    <row r="25" spans="1:2" x14ac:dyDescent="0.2">
      <c r="A25" s="37">
        <v>13</v>
      </c>
      <c r="B25" s="30" t="s">
        <v>49</v>
      </c>
    </row>
    <row r="26" spans="1:2" x14ac:dyDescent="0.2">
      <c r="B26" s="4"/>
    </row>
    <row r="27" spans="1:2" x14ac:dyDescent="0.2">
      <c r="B27" s="29"/>
    </row>
    <row r="28" spans="1:2" x14ac:dyDescent="0.2">
      <c r="A28" s="42"/>
      <c r="B28" s="35" t="s">
        <v>54</v>
      </c>
    </row>
    <row r="29" spans="1:2" x14ac:dyDescent="0.2">
      <c r="A29" s="37"/>
      <c r="B29" s="38" t="s">
        <v>149</v>
      </c>
    </row>
    <row r="30" spans="1:2" x14ac:dyDescent="0.2">
      <c r="A30" s="37">
        <v>1</v>
      </c>
      <c r="B30" s="30" t="s">
        <v>55</v>
      </c>
    </row>
    <row r="31" spans="1:2" x14ac:dyDescent="0.2">
      <c r="A31" s="37">
        <f>A30+1</f>
        <v>2</v>
      </c>
      <c r="B31" s="43" t="s">
        <v>152</v>
      </c>
    </row>
    <row r="32" spans="1:2" x14ac:dyDescent="0.2">
      <c r="A32" s="37">
        <f>A31+1</f>
        <v>3</v>
      </c>
      <c r="B32" s="30" t="s">
        <v>70</v>
      </c>
    </row>
    <row r="33" spans="1:2" x14ac:dyDescent="0.2">
      <c r="A33" s="37">
        <f>A32+1</f>
        <v>4</v>
      </c>
      <c r="B33" s="30" t="s">
        <v>73</v>
      </c>
    </row>
    <row r="34" spans="1:2" x14ac:dyDescent="0.2">
      <c r="A34" s="37"/>
      <c r="B34" s="30"/>
    </row>
    <row r="35" spans="1:2" x14ac:dyDescent="0.2">
      <c r="A35" s="37"/>
      <c r="B35" s="38" t="s">
        <v>147</v>
      </c>
    </row>
    <row r="36" spans="1:2" x14ac:dyDescent="0.2">
      <c r="A36" s="37">
        <v>5</v>
      </c>
      <c r="B36" s="30" t="s">
        <v>68</v>
      </c>
    </row>
    <row r="37" spans="1:2" x14ac:dyDescent="0.2">
      <c r="A37" s="37">
        <v>6</v>
      </c>
      <c r="B37" s="30" t="s">
        <v>71</v>
      </c>
    </row>
    <row r="38" spans="1:2" x14ac:dyDescent="0.2">
      <c r="A38" s="50"/>
    </row>
    <row r="39" spans="1:2" x14ac:dyDescent="0.2">
      <c r="B39" s="4"/>
    </row>
    <row r="40" spans="1:2" x14ac:dyDescent="0.2">
      <c r="A40" s="42"/>
      <c r="B40" s="35" t="s">
        <v>76</v>
      </c>
    </row>
    <row r="41" spans="1:2" x14ac:dyDescent="0.2">
      <c r="A41" s="37"/>
      <c r="B41" s="38" t="s">
        <v>149</v>
      </c>
    </row>
    <row r="42" spans="1:2" x14ac:dyDescent="0.2">
      <c r="A42" s="37">
        <v>1</v>
      </c>
      <c r="B42" s="30" t="s">
        <v>85</v>
      </c>
    </row>
    <row r="43" spans="1:2" x14ac:dyDescent="0.2">
      <c r="A43" s="37">
        <v>2</v>
      </c>
      <c r="B43" s="30" t="s">
        <v>97</v>
      </c>
    </row>
    <row r="44" spans="1:2" x14ac:dyDescent="0.2">
      <c r="A44" s="37">
        <v>3</v>
      </c>
      <c r="B44" s="30" t="s">
        <v>99</v>
      </c>
    </row>
    <row r="45" spans="1:2" x14ac:dyDescent="0.2">
      <c r="A45" s="37">
        <f t="shared" ref="A45" si="2">A44+1</f>
        <v>4</v>
      </c>
      <c r="B45" s="30" t="s">
        <v>106</v>
      </c>
    </row>
    <row r="46" spans="1:2" x14ac:dyDescent="0.2">
      <c r="A46" s="37"/>
      <c r="B46" s="30"/>
    </row>
    <row r="47" spans="1:2" x14ac:dyDescent="0.2">
      <c r="A47" s="37"/>
      <c r="B47" s="38" t="s">
        <v>147</v>
      </c>
    </row>
    <row r="48" spans="1:2" x14ac:dyDescent="0.2">
      <c r="A48" s="37">
        <v>5</v>
      </c>
      <c r="B48" s="30" t="s">
        <v>88</v>
      </c>
    </row>
    <row r="49" spans="1:2" ht="15" customHeight="1" x14ac:dyDescent="0.2">
      <c r="A49" s="37">
        <v>6</v>
      </c>
      <c r="B49" s="30" t="s">
        <v>192</v>
      </c>
    </row>
    <row r="50" spans="1:2" ht="15" customHeight="1" x14ac:dyDescent="0.2">
      <c r="A50" s="37"/>
      <c r="B50" s="30"/>
    </row>
    <row r="51" spans="1:2" ht="15" customHeight="1" x14ac:dyDescent="0.2">
      <c r="A51" s="37"/>
      <c r="B51" s="38" t="s">
        <v>148</v>
      </c>
    </row>
    <row r="52" spans="1:2" ht="17.25" customHeight="1" x14ac:dyDescent="0.2">
      <c r="A52" s="37">
        <v>7</v>
      </c>
      <c r="B52" s="30" t="s">
        <v>121</v>
      </c>
    </row>
    <row r="54" spans="1:2" x14ac:dyDescent="0.2">
      <c r="A54" s="42"/>
      <c r="B54" s="35" t="s">
        <v>123</v>
      </c>
    </row>
    <row r="55" spans="1:2" x14ac:dyDescent="0.2">
      <c r="A55" s="37"/>
      <c r="B55" s="38" t="s">
        <v>147</v>
      </c>
    </row>
    <row r="56" spans="1:2" x14ac:dyDescent="0.2">
      <c r="A56" s="37">
        <v>1</v>
      </c>
      <c r="B56" s="30" t="s">
        <v>197</v>
      </c>
    </row>
    <row r="57" spans="1:2" x14ac:dyDescent="0.2">
      <c r="A57" s="37">
        <f>A56+1</f>
        <v>2</v>
      </c>
      <c r="B57" s="30" t="s">
        <v>126</v>
      </c>
    </row>
    <row r="58" spans="1:2" x14ac:dyDescent="0.2">
      <c r="A58" s="37">
        <f>A57+1</f>
        <v>3</v>
      </c>
      <c r="B58" s="30" t="s">
        <v>127</v>
      </c>
    </row>
    <row r="59" spans="1:2" x14ac:dyDescent="0.2">
      <c r="A59" s="37">
        <f>A58+1</f>
        <v>4</v>
      </c>
      <c r="B59" s="30" t="s">
        <v>128</v>
      </c>
    </row>
    <row r="60" spans="1:2" x14ac:dyDescent="0.2">
      <c r="B60" s="4"/>
    </row>
    <row r="62" spans="1:2" x14ac:dyDescent="0.2">
      <c r="A62" s="44"/>
      <c r="B62" s="35" t="s">
        <v>129</v>
      </c>
    </row>
    <row r="63" spans="1:2" x14ac:dyDescent="0.2">
      <c r="A63" s="37"/>
      <c r="B63" s="38" t="s">
        <v>149</v>
      </c>
    </row>
    <row r="64" spans="1:2" x14ac:dyDescent="0.2">
      <c r="A64" s="37">
        <v>1</v>
      </c>
      <c r="B64" s="30" t="s">
        <v>166</v>
      </c>
    </row>
    <row r="65" spans="1:2" x14ac:dyDescent="0.2">
      <c r="A65" s="37">
        <v>2</v>
      </c>
      <c r="B65" s="30" t="s">
        <v>198</v>
      </c>
    </row>
    <row r="66" spans="1:2" x14ac:dyDescent="0.2">
      <c r="A66" s="37">
        <v>3</v>
      </c>
      <c r="B66" s="30" t="s">
        <v>131</v>
      </c>
    </row>
    <row r="67" spans="1:2" x14ac:dyDescent="0.2">
      <c r="A67" s="37">
        <v>4</v>
      </c>
      <c r="B67" s="30" t="s">
        <v>169</v>
      </c>
    </row>
    <row r="68" spans="1:2" x14ac:dyDescent="0.2">
      <c r="A68" s="37">
        <v>5</v>
      </c>
      <c r="B68" s="30" t="s">
        <v>133</v>
      </c>
    </row>
    <row r="69" spans="1:2" x14ac:dyDescent="0.2">
      <c r="A69" s="37">
        <v>6</v>
      </c>
      <c r="B69" s="30" t="s">
        <v>171</v>
      </c>
    </row>
    <row r="70" spans="1:2" x14ac:dyDescent="0.2">
      <c r="A70" s="37">
        <v>7</v>
      </c>
      <c r="B70" s="30" t="s">
        <v>135</v>
      </c>
    </row>
    <row r="71" spans="1:2" x14ac:dyDescent="0.2">
      <c r="A71" s="37">
        <v>8</v>
      </c>
      <c r="B71" s="30" t="s">
        <v>173</v>
      </c>
    </row>
    <row r="72" spans="1:2" x14ac:dyDescent="0.2">
      <c r="A72" s="37">
        <v>9</v>
      </c>
      <c r="B72" s="30" t="s">
        <v>174</v>
      </c>
    </row>
    <row r="73" spans="1:2" x14ac:dyDescent="0.2">
      <c r="A73" s="37">
        <v>10</v>
      </c>
      <c r="B73" s="30" t="s">
        <v>199</v>
      </c>
    </row>
    <row r="74" spans="1:2" x14ac:dyDescent="0.2">
      <c r="A74" s="37">
        <v>11</v>
      </c>
      <c r="B74" s="30" t="s">
        <v>177</v>
      </c>
    </row>
    <row r="75" spans="1:2" x14ac:dyDescent="0.2">
      <c r="A75" s="37">
        <v>12</v>
      </c>
      <c r="B75" s="30" t="s">
        <v>178</v>
      </c>
    </row>
    <row r="76" spans="1:2" x14ac:dyDescent="0.2">
      <c r="A76" s="37">
        <v>13</v>
      </c>
      <c r="B76" s="30" t="s">
        <v>200</v>
      </c>
    </row>
    <row r="77" spans="1:2" x14ac:dyDescent="0.2">
      <c r="A77" s="37">
        <v>14</v>
      </c>
      <c r="B77" s="30" t="s">
        <v>140</v>
      </c>
    </row>
    <row r="78" spans="1:2" x14ac:dyDescent="0.2">
      <c r="A78" s="37">
        <v>15</v>
      </c>
      <c r="B78" s="30" t="s">
        <v>183</v>
      </c>
    </row>
    <row r="79" spans="1:2" x14ac:dyDescent="0.2">
      <c r="A79" s="37">
        <v>16</v>
      </c>
      <c r="B79" s="30" t="s">
        <v>141</v>
      </c>
    </row>
    <row r="80" spans="1:2" x14ac:dyDescent="0.2">
      <c r="A80" s="37">
        <v>17</v>
      </c>
      <c r="B80" s="30" t="s">
        <v>184</v>
      </c>
    </row>
    <row r="81" spans="1:2" x14ac:dyDescent="0.2">
      <c r="A81" s="37"/>
      <c r="B81" s="30"/>
    </row>
    <row r="82" spans="1:2" x14ac:dyDescent="0.2">
      <c r="A82" s="37"/>
      <c r="B82" s="38" t="s">
        <v>148</v>
      </c>
    </row>
    <row r="83" spans="1:2" x14ac:dyDescent="0.2">
      <c r="A83" s="37">
        <v>18</v>
      </c>
      <c r="B83" s="30" t="s">
        <v>170</v>
      </c>
    </row>
  </sheetData>
  <mergeCells count="1">
    <mergeCell ref="J7:L7"/>
  </mergeCells>
  <pageMargins left="0.75" right="0.75" top="1" bottom="1" header="0.5" footer="0.5"/>
  <pageSetup orientation="portrait" horizontalDpi="4294967292" verticalDpi="4294967292" r:id="rId1"/>
  <headerFooter>
    <oddFooter>&amp;L_x000D_&amp;1#&amp;"Calibri"&amp;11&amp;K000000 Classification: GENERAL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0A65-C372-4AF9-8B21-89DA5641EDB7}">
  <sheetPr codeName="Sheet11">
    <tabColor theme="6"/>
  </sheetPr>
  <dimension ref="A1:C28"/>
  <sheetViews>
    <sheetView workbookViewId="0">
      <selection activeCell="E24" sqref="E24"/>
    </sheetView>
  </sheetViews>
  <sheetFormatPr defaultRowHeight="15.75" x14ac:dyDescent="0.25"/>
  <cols>
    <col min="1" max="1" width="49.875" customWidth="1"/>
    <col min="2" max="2" width="38.375" customWidth="1"/>
    <col min="3" max="3" width="17.25" customWidth="1"/>
  </cols>
  <sheetData>
    <row r="1" spans="1:3" s="83" customFormat="1" x14ac:dyDescent="0.25">
      <c r="A1" s="83" t="s">
        <v>226</v>
      </c>
      <c r="B1" s="83" t="s">
        <v>220</v>
      </c>
      <c r="C1" s="84">
        <v>46022</v>
      </c>
    </row>
    <row r="2" spans="1:3" s="85" customFormat="1" x14ac:dyDescent="0.25">
      <c r="A2" s="85" t="s">
        <v>219</v>
      </c>
      <c r="B2" s="85" t="s">
        <v>222</v>
      </c>
      <c r="C2" s="85" t="s">
        <v>221</v>
      </c>
    </row>
    <row r="3" spans="1:3" x14ac:dyDescent="0.25">
      <c r="A3" t="s">
        <v>21</v>
      </c>
      <c r="B3" t="s">
        <v>2</v>
      </c>
      <c r="C3" t="s">
        <v>149</v>
      </c>
    </row>
    <row r="4" spans="1:3" x14ac:dyDescent="0.25">
      <c r="A4" t="s">
        <v>42</v>
      </c>
      <c r="B4" t="s">
        <v>2</v>
      </c>
      <c r="C4" t="s">
        <v>149</v>
      </c>
    </row>
    <row r="5" spans="1:3" x14ac:dyDescent="0.25">
      <c r="A5" t="s">
        <v>45</v>
      </c>
      <c r="B5" t="s">
        <v>2</v>
      </c>
      <c r="C5" t="s">
        <v>149</v>
      </c>
    </row>
    <row r="6" spans="1:3" x14ac:dyDescent="0.25">
      <c r="A6" t="s">
        <v>52</v>
      </c>
      <c r="B6" t="s">
        <v>2</v>
      </c>
      <c r="C6" t="s">
        <v>149</v>
      </c>
    </row>
    <row r="7" spans="1:3" x14ac:dyDescent="0.25">
      <c r="A7" t="s">
        <v>10</v>
      </c>
      <c r="B7" t="s">
        <v>2</v>
      </c>
      <c r="C7" t="s">
        <v>147</v>
      </c>
    </row>
    <row r="8" spans="1:3" x14ac:dyDescent="0.25">
      <c r="A8" t="s">
        <v>24</v>
      </c>
      <c r="B8" t="s">
        <v>2</v>
      </c>
      <c r="C8" t="s">
        <v>147</v>
      </c>
    </row>
    <row r="9" spans="1:3" x14ac:dyDescent="0.25">
      <c r="A9" t="s">
        <v>25</v>
      </c>
      <c r="B9" t="s">
        <v>2</v>
      </c>
      <c r="C9" t="s">
        <v>147</v>
      </c>
    </row>
    <row r="10" spans="1:3" x14ac:dyDescent="0.25">
      <c r="A10" t="s">
        <v>38</v>
      </c>
      <c r="B10" t="s">
        <v>2</v>
      </c>
      <c r="C10" t="s">
        <v>147</v>
      </c>
    </row>
    <row r="11" spans="1:3" x14ac:dyDescent="0.25">
      <c r="A11" t="s">
        <v>47</v>
      </c>
      <c r="B11" t="s">
        <v>2</v>
      </c>
      <c r="C11" t="s">
        <v>147</v>
      </c>
    </row>
    <row r="12" spans="1:3" x14ac:dyDescent="0.25">
      <c r="A12" t="s">
        <v>22</v>
      </c>
      <c r="B12" t="s">
        <v>2</v>
      </c>
      <c r="C12" t="s">
        <v>148</v>
      </c>
    </row>
    <row r="13" spans="1:3" x14ac:dyDescent="0.25">
      <c r="A13" t="s">
        <v>55</v>
      </c>
      <c r="B13" t="s">
        <v>54</v>
      </c>
      <c r="C13" t="s">
        <v>149</v>
      </c>
    </row>
    <row r="14" spans="1:3" x14ac:dyDescent="0.25">
      <c r="A14" t="s">
        <v>73</v>
      </c>
      <c r="B14" t="s">
        <v>54</v>
      </c>
      <c r="C14" t="s">
        <v>149</v>
      </c>
    </row>
    <row r="15" spans="1:3" x14ac:dyDescent="0.25">
      <c r="A15" t="s">
        <v>68</v>
      </c>
      <c r="B15" t="s">
        <v>54</v>
      </c>
      <c r="C15" t="s">
        <v>147</v>
      </c>
    </row>
    <row r="16" spans="1:3" x14ac:dyDescent="0.25">
      <c r="A16" t="s">
        <v>202</v>
      </c>
      <c r="B16" t="s">
        <v>54</v>
      </c>
      <c r="C16" t="s">
        <v>147</v>
      </c>
    </row>
    <row r="17" spans="1:3" x14ac:dyDescent="0.25">
      <c r="A17" t="s">
        <v>71</v>
      </c>
      <c r="B17" t="s">
        <v>54</v>
      </c>
      <c r="C17" t="s">
        <v>147</v>
      </c>
    </row>
    <row r="18" spans="1:3" x14ac:dyDescent="0.25">
      <c r="A18" t="s">
        <v>88</v>
      </c>
      <c r="B18" t="s">
        <v>76</v>
      </c>
      <c r="C18" t="s">
        <v>147</v>
      </c>
    </row>
    <row r="19" spans="1:3" x14ac:dyDescent="0.25">
      <c r="A19" t="s">
        <v>192</v>
      </c>
      <c r="B19" t="s">
        <v>76</v>
      </c>
      <c r="C19" t="s">
        <v>147</v>
      </c>
    </row>
    <row r="20" spans="1:3" x14ac:dyDescent="0.25">
      <c r="A20" t="s">
        <v>99</v>
      </c>
      <c r="B20" t="s">
        <v>76</v>
      </c>
      <c r="C20" t="s">
        <v>147</v>
      </c>
    </row>
    <row r="21" spans="1:3" x14ac:dyDescent="0.25">
      <c r="A21" t="s">
        <v>126</v>
      </c>
      <c r="B21" t="s">
        <v>123</v>
      </c>
      <c r="C21" t="s">
        <v>147</v>
      </c>
    </row>
    <row r="22" spans="1:3" x14ac:dyDescent="0.25">
      <c r="A22" t="s">
        <v>127</v>
      </c>
      <c r="B22" t="s">
        <v>123</v>
      </c>
      <c r="C22" t="s">
        <v>147</v>
      </c>
    </row>
    <row r="23" spans="1:3" x14ac:dyDescent="0.25">
      <c r="A23" t="s">
        <v>140</v>
      </c>
      <c r="B23" t="s">
        <v>129</v>
      </c>
      <c r="C23" t="s">
        <v>149</v>
      </c>
    </row>
    <row r="24" spans="1:3" x14ac:dyDescent="0.25">
      <c r="A24" t="s">
        <v>141</v>
      </c>
      <c r="B24" t="s">
        <v>129</v>
      </c>
      <c r="C24" t="s">
        <v>149</v>
      </c>
    </row>
    <row r="25" spans="1:3" x14ac:dyDescent="0.25">
      <c r="A25" t="s">
        <v>131</v>
      </c>
      <c r="B25" t="s">
        <v>129</v>
      </c>
      <c r="C25" t="s">
        <v>147</v>
      </c>
    </row>
    <row r="26" spans="1:3" x14ac:dyDescent="0.25">
      <c r="A26" t="s">
        <v>173</v>
      </c>
      <c r="B26" t="s">
        <v>129</v>
      </c>
      <c r="C26" t="s">
        <v>147</v>
      </c>
    </row>
    <row r="27" spans="1:3" x14ac:dyDescent="0.25">
      <c r="A27" t="s">
        <v>174</v>
      </c>
      <c r="B27" t="s">
        <v>129</v>
      </c>
      <c r="C27" t="s">
        <v>147</v>
      </c>
    </row>
    <row r="28" spans="1:3" x14ac:dyDescent="0.25">
      <c r="A28" t="s">
        <v>166</v>
      </c>
      <c r="B28" t="s">
        <v>129</v>
      </c>
      <c r="C28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44DD-FBA9-4FC3-9FEE-B97E5ADA2126}">
  <sheetPr codeName="Sheet6">
    <tabColor theme="7"/>
  </sheetPr>
  <dimension ref="A1:AN58"/>
  <sheetViews>
    <sheetView showGridLines="0" topLeftCell="A17" zoomScale="80" zoomScaleNormal="80" workbookViewId="0">
      <selection activeCell="B47" sqref="B47"/>
    </sheetView>
  </sheetViews>
  <sheetFormatPr defaultColWidth="11" defaultRowHeight="14.25" x14ac:dyDescent="0.2"/>
  <cols>
    <col min="1" max="1" width="4.375" style="20" customWidth="1"/>
    <col min="2" max="2" width="51.5" style="20" bestFit="1" customWidth="1"/>
    <col min="3" max="3" width="11.125" style="20" bestFit="1" customWidth="1"/>
    <col min="4" max="4" width="23.625" style="20" bestFit="1" customWidth="1"/>
    <col min="5" max="5" width="10" style="20" bestFit="1" customWidth="1"/>
    <col min="6" max="9" width="11" style="20"/>
    <col min="10" max="10" width="38.875" style="20" customWidth="1"/>
    <col min="11" max="11" width="16.375" style="20" bestFit="1" customWidth="1"/>
    <col min="12" max="12" width="20.125" style="20" bestFit="1" customWidth="1"/>
    <col min="13" max="16384" width="11" style="20"/>
  </cols>
  <sheetData>
    <row r="1" spans="1:40" s="51" customFormat="1" x14ac:dyDescent="0.2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40" s="51" customFormat="1" ht="18" x14ac:dyDescent="0.25">
      <c r="B2" s="53" t="s">
        <v>201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40" s="51" customFormat="1" x14ac:dyDescent="0.2">
      <c r="B3" s="52" t="str">
        <f>'[1]Bills Pay Ph QR'!B3</f>
        <v>31 December 2025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40" s="51" customFormat="1" x14ac:dyDescent="0.2">
      <c r="B4" s="51" t="s">
        <v>187</v>
      </c>
      <c r="C4" s="52"/>
      <c r="D4" s="52"/>
      <c r="E4" s="52"/>
      <c r="F4" s="52"/>
      <c r="M4" s="52"/>
      <c r="N4" s="52"/>
      <c r="O4" s="52"/>
      <c r="P4" s="52"/>
      <c r="Q4" s="52"/>
      <c r="R4" s="52"/>
      <c r="S4" s="52"/>
      <c r="AF4" s="52"/>
      <c r="AN4" s="52"/>
    </row>
    <row r="5" spans="1:40" s="51" customFormat="1" x14ac:dyDescent="0.2">
      <c r="C5" s="52"/>
      <c r="D5" s="52"/>
      <c r="E5" s="52"/>
      <c r="F5" s="52"/>
      <c r="M5" s="52"/>
      <c r="N5" s="52"/>
      <c r="O5" s="52"/>
      <c r="P5" s="52"/>
      <c r="Q5" s="52"/>
      <c r="R5" s="52"/>
      <c r="S5" s="52"/>
      <c r="AF5" s="52"/>
      <c r="AN5" s="52"/>
    </row>
    <row r="7" spans="1:40" s="49" customFormat="1" ht="28.5" x14ac:dyDescent="0.25">
      <c r="A7" s="48"/>
      <c r="B7" s="35" t="s">
        <v>2</v>
      </c>
      <c r="D7" s="35" t="s">
        <v>145</v>
      </c>
      <c r="E7" s="35" t="s">
        <v>146</v>
      </c>
      <c r="F7" s="35" t="s">
        <v>147</v>
      </c>
      <c r="G7" s="35" t="s">
        <v>148</v>
      </c>
      <c r="H7" s="35" t="s">
        <v>19</v>
      </c>
      <c r="J7" s="76"/>
      <c r="K7" s="76"/>
      <c r="L7" s="76"/>
    </row>
    <row r="8" spans="1:40" x14ac:dyDescent="0.2">
      <c r="A8" s="37"/>
      <c r="B8" s="38" t="s">
        <v>149</v>
      </c>
      <c r="D8" s="30" t="s">
        <v>6</v>
      </c>
      <c r="E8" s="37">
        <v>4</v>
      </c>
      <c r="F8" s="37">
        <v>5</v>
      </c>
      <c r="G8" s="37">
        <v>1</v>
      </c>
      <c r="H8" s="39">
        <f>SUM(E8:G8)</f>
        <v>10</v>
      </c>
      <c r="J8" s="66"/>
      <c r="K8" s="66"/>
      <c r="L8" s="66"/>
    </row>
    <row r="9" spans="1:40" x14ac:dyDescent="0.2">
      <c r="A9" s="37">
        <v>1</v>
      </c>
      <c r="B9" s="30" t="s">
        <v>21</v>
      </c>
      <c r="D9" s="30" t="s">
        <v>11</v>
      </c>
      <c r="E9" s="37">
        <v>2</v>
      </c>
      <c r="F9" s="37">
        <v>3</v>
      </c>
      <c r="G9" s="37">
        <v>0</v>
      </c>
      <c r="H9" s="39">
        <f t="shared" ref="H9:H11" si="0">SUM(E9:G9)</f>
        <v>5</v>
      </c>
      <c r="J9" s="69"/>
      <c r="K9" s="73"/>
      <c r="L9" s="73"/>
    </row>
    <row r="10" spans="1:40" x14ac:dyDescent="0.2">
      <c r="A10" s="37">
        <f>A9+1</f>
        <v>2</v>
      </c>
      <c r="B10" s="30" t="s">
        <v>42</v>
      </c>
      <c r="D10" s="30" t="s">
        <v>13</v>
      </c>
      <c r="E10" s="37">
        <v>0</v>
      </c>
      <c r="F10" s="37">
        <v>3</v>
      </c>
      <c r="G10" s="37">
        <v>0</v>
      </c>
      <c r="H10" s="39">
        <f t="shared" si="0"/>
        <v>3</v>
      </c>
      <c r="J10" s="69"/>
      <c r="K10" s="73"/>
      <c r="L10" s="73"/>
    </row>
    <row r="11" spans="1:40" x14ac:dyDescent="0.2">
      <c r="A11" s="37">
        <v>3</v>
      </c>
      <c r="B11" s="30" t="s">
        <v>45</v>
      </c>
      <c r="D11" s="40" t="s">
        <v>15</v>
      </c>
      <c r="E11" s="37">
        <v>0</v>
      </c>
      <c r="F11" s="37">
        <v>2</v>
      </c>
      <c r="G11" s="37">
        <v>0</v>
      </c>
      <c r="H11" s="39">
        <f t="shared" si="0"/>
        <v>2</v>
      </c>
      <c r="J11" s="69"/>
      <c r="K11" s="69"/>
      <c r="L11" s="69"/>
    </row>
    <row r="12" spans="1:40" x14ac:dyDescent="0.2">
      <c r="A12" s="37">
        <v>4</v>
      </c>
      <c r="B12" s="30" t="s">
        <v>52</v>
      </c>
      <c r="D12" s="40" t="s">
        <v>17</v>
      </c>
      <c r="E12" s="37">
        <v>2</v>
      </c>
      <c r="F12" s="37">
        <v>3</v>
      </c>
      <c r="G12" s="37">
        <v>1</v>
      </c>
      <c r="H12" s="39">
        <f>SUM(E12:G12)</f>
        <v>6</v>
      </c>
      <c r="J12" s="69"/>
      <c r="K12" s="69"/>
      <c r="L12" s="69"/>
    </row>
    <row r="13" spans="1:40" x14ac:dyDescent="0.2">
      <c r="A13" s="37"/>
      <c r="B13" s="38"/>
      <c r="D13" s="41" t="s">
        <v>19</v>
      </c>
      <c r="E13" s="39">
        <f>SUM(E8:E12)</f>
        <v>8</v>
      </c>
      <c r="F13" s="39">
        <f>SUM(F8:F12)</f>
        <v>16</v>
      </c>
      <c r="G13" s="39">
        <f>SUM(G8:G12)</f>
        <v>2</v>
      </c>
      <c r="H13" s="39">
        <f>SUM(H8:H12)</f>
        <v>26</v>
      </c>
    </row>
    <row r="14" spans="1:40" x14ac:dyDescent="0.2">
      <c r="A14" s="37"/>
      <c r="B14" s="38" t="s">
        <v>147</v>
      </c>
    </row>
    <row r="15" spans="1:40" x14ac:dyDescent="0.2">
      <c r="A15" s="37">
        <v>5</v>
      </c>
      <c r="B15" s="30" t="s">
        <v>10</v>
      </c>
    </row>
    <row r="16" spans="1:40" x14ac:dyDescent="0.2">
      <c r="A16" s="37">
        <v>6</v>
      </c>
      <c r="B16" s="30" t="s">
        <v>24</v>
      </c>
    </row>
    <row r="17" spans="1:2" x14ac:dyDescent="0.2">
      <c r="A17" s="37">
        <f>A16+1</f>
        <v>7</v>
      </c>
      <c r="B17" s="30" t="s">
        <v>25</v>
      </c>
    </row>
    <row r="18" spans="1:2" x14ac:dyDescent="0.2">
      <c r="A18" s="37">
        <v>8</v>
      </c>
      <c r="B18" s="30" t="s">
        <v>38</v>
      </c>
    </row>
    <row r="19" spans="1:2" x14ac:dyDescent="0.2">
      <c r="A19" s="37">
        <v>9</v>
      </c>
      <c r="B19" s="30" t="s">
        <v>47</v>
      </c>
    </row>
    <row r="20" spans="1:2" x14ac:dyDescent="0.2">
      <c r="A20" s="37"/>
      <c r="B20" s="38"/>
    </row>
    <row r="21" spans="1:2" x14ac:dyDescent="0.2">
      <c r="A21" s="37"/>
      <c r="B21" s="38" t="s">
        <v>148</v>
      </c>
    </row>
    <row r="22" spans="1:2" x14ac:dyDescent="0.2">
      <c r="A22" s="37">
        <v>10</v>
      </c>
      <c r="B22" s="30" t="s">
        <v>22</v>
      </c>
    </row>
    <row r="23" spans="1:2" x14ac:dyDescent="0.2">
      <c r="A23" s="37"/>
      <c r="B23" s="30"/>
    </row>
    <row r="24" spans="1:2" x14ac:dyDescent="0.2">
      <c r="B24" s="29"/>
    </row>
    <row r="25" spans="1:2" x14ac:dyDescent="0.2">
      <c r="A25" s="42"/>
      <c r="B25" s="35" t="s">
        <v>54</v>
      </c>
    </row>
    <row r="26" spans="1:2" x14ac:dyDescent="0.2">
      <c r="A26" s="37"/>
      <c r="B26" s="38" t="s">
        <v>149</v>
      </c>
    </row>
    <row r="27" spans="1:2" x14ac:dyDescent="0.2">
      <c r="A27" s="37">
        <v>1</v>
      </c>
      <c r="B27" s="30" t="s">
        <v>55</v>
      </c>
    </row>
    <row r="28" spans="1:2" x14ac:dyDescent="0.2">
      <c r="A28" s="37">
        <v>2</v>
      </c>
      <c r="B28" s="30" t="s">
        <v>73</v>
      </c>
    </row>
    <row r="29" spans="1:2" x14ac:dyDescent="0.2">
      <c r="A29" s="37"/>
      <c r="B29" s="30"/>
    </row>
    <row r="30" spans="1:2" x14ac:dyDescent="0.2">
      <c r="A30" s="37"/>
      <c r="B30" s="38" t="s">
        <v>147</v>
      </c>
    </row>
    <row r="31" spans="1:2" x14ac:dyDescent="0.2">
      <c r="A31" s="37">
        <v>3</v>
      </c>
      <c r="B31" s="30" t="s">
        <v>68</v>
      </c>
    </row>
    <row r="32" spans="1:2" x14ac:dyDescent="0.2">
      <c r="A32" s="37">
        <v>4</v>
      </c>
      <c r="B32" s="30" t="s">
        <v>202</v>
      </c>
    </row>
    <row r="33" spans="1:2" x14ac:dyDescent="0.2">
      <c r="A33" s="37">
        <f>A32+1</f>
        <v>5</v>
      </c>
      <c r="B33" s="30" t="s">
        <v>71</v>
      </c>
    </row>
    <row r="34" spans="1:2" x14ac:dyDescent="0.2">
      <c r="A34" s="50"/>
    </row>
    <row r="35" spans="1:2" x14ac:dyDescent="0.2">
      <c r="B35" s="4"/>
    </row>
    <row r="36" spans="1:2" x14ac:dyDescent="0.2">
      <c r="A36" s="42"/>
      <c r="B36" s="35" t="s">
        <v>76</v>
      </c>
    </row>
    <row r="37" spans="1:2" x14ac:dyDescent="0.2">
      <c r="A37" s="37"/>
      <c r="B37" s="38" t="s">
        <v>147</v>
      </c>
    </row>
    <row r="38" spans="1:2" x14ac:dyDescent="0.2">
      <c r="A38" s="37">
        <v>1</v>
      </c>
      <c r="B38" s="30" t="s">
        <v>88</v>
      </c>
    </row>
    <row r="39" spans="1:2" x14ac:dyDescent="0.2">
      <c r="A39" s="37">
        <v>2</v>
      </c>
      <c r="B39" s="30" t="s">
        <v>192</v>
      </c>
    </row>
    <row r="40" spans="1:2" x14ac:dyDescent="0.2">
      <c r="A40" s="37">
        <v>3</v>
      </c>
      <c r="B40" s="30" t="s">
        <v>99</v>
      </c>
    </row>
    <row r="41" spans="1:2" ht="15" customHeight="1" x14ac:dyDescent="0.2">
      <c r="B41" s="4"/>
    </row>
    <row r="42" spans="1:2" x14ac:dyDescent="0.2">
      <c r="A42" s="42"/>
      <c r="B42" s="35" t="s">
        <v>123</v>
      </c>
    </row>
    <row r="43" spans="1:2" x14ac:dyDescent="0.2">
      <c r="A43" s="37"/>
      <c r="B43" s="38" t="s">
        <v>147</v>
      </c>
    </row>
    <row r="44" spans="1:2" x14ac:dyDescent="0.2">
      <c r="A44" s="37">
        <v>1</v>
      </c>
      <c r="B44" s="30" t="s">
        <v>126</v>
      </c>
    </row>
    <row r="45" spans="1:2" x14ac:dyDescent="0.2">
      <c r="A45" s="37">
        <v>2</v>
      </c>
      <c r="B45" s="30" t="s">
        <v>127</v>
      </c>
    </row>
    <row r="46" spans="1:2" ht="17.25" customHeight="1" x14ac:dyDescent="0.2"/>
    <row r="47" spans="1:2" x14ac:dyDescent="0.2">
      <c r="A47" s="44"/>
      <c r="B47" s="35" t="s">
        <v>129</v>
      </c>
    </row>
    <row r="48" spans="1:2" x14ac:dyDescent="0.2">
      <c r="A48" s="37"/>
      <c r="B48" s="38" t="s">
        <v>149</v>
      </c>
    </row>
    <row r="49" spans="1:2" x14ac:dyDescent="0.2">
      <c r="A49" s="37">
        <v>1</v>
      </c>
      <c r="B49" s="30" t="s">
        <v>140</v>
      </c>
    </row>
    <row r="50" spans="1:2" x14ac:dyDescent="0.2">
      <c r="A50" s="37">
        <f>A49+1</f>
        <v>2</v>
      </c>
      <c r="B50" s="30" t="s">
        <v>141</v>
      </c>
    </row>
    <row r="51" spans="1:2" x14ac:dyDescent="0.2">
      <c r="A51" s="37"/>
      <c r="B51" s="30"/>
    </row>
    <row r="52" spans="1:2" x14ac:dyDescent="0.2">
      <c r="A52" s="37"/>
      <c r="B52" s="38" t="s">
        <v>147</v>
      </c>
    </row>
    <row r="53" spans="1:2" x14ac:dyDescent="0.2">
      <c r="A53" s="37">
        <v>3</v>
      </c>
      <c r="B53" s="30" t="s">
        <v>131</v>
      </c>
    </row>
    <row r="54" spans="1:2" x14ac:dyDescent="0.2">
      <c r="A54" s="37">
        <v>4</v>
      </c>
      <c r="B54" s="30" t="s">
        <v>173</v>
      </c>
    </row>
    <row r="55" spans="1:2" x14ac:dyDescent="0.2">
      <c r="A55" s="37">
        <v>5</v>
      </c>
      <c r="B55" s="30" t="s">
        <v>174</v>
      </c>
    </row>
    <row r="56" spans="1:2" x14ac:dyDescent="0.2">
      <c r="A56" s="37"/>
      <c r="B56" s="13"/>
    </row>
    <row r="57" spans="1:2" x14ac:dyDescent="0.2">
      <c r="A57" s="37"/>
      <c r="B57" s="38" t="s">
        <v>148</v>
      </c>
    </row>
    <row r="58" spans="1:2" x14ac:dyDescent="0.2">
      <c r="A58" s="37">
        <v>6</v>
      </c>
      <c r="B58" s="30" t="s">
        <v>166</v>
      </c>
    </row>
  </sheetData>
  <mergeCells count="1">
    <mergeCell ref="J7:L7"/>
  </mergeCells>
  <pageMargins left="0.75" right="0.75" top="1" bottom="1" header="0.5" footer="0.5"/>
  <pageSetup orientation="portrait" horizontalDpi="4294967292" verticalDpi="4294967292" r:id="rId1"/>
  <headerFooter>
    <oddFooter>&amp;L_x000D_&amp;1#&amp;"Calibri"&amp;11&amp;K000000 Classification: GENERAL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3C54-E34D-4376-B222-28D8FA0A4AB7}">
  <sheetPr codeName="Sheet12">
    <tabColor theme="6"/>
  </sheetPr>
  <dimension ref="A1:C11"/>
  <sheetViews>
    <sheetView workbookViewId="0">
      <selection activeCell="C16" sqref="C16"/>
    </sheetView>
  </sheetViews>
  <sheetFormatPr defaultRowHeight="15.75" x14ac:dyDescent="0.25"/>
  <cols>
    <col min="1" max="1" width="49.875" customWidth="1"/>
    <col min="2" max="2" width="38.375" customWidth="1"/>
    <col min="3" max="3" width="17.25" customWidth="1"/>
  </cols>
  <sheetData>
    <row r="1" spans="1:3" s="83" customFormat="1" x14ac:dyDescent="0.25">
      <c r="A1" s="83" t="s">
        <v>227</v>
      </c>
      <c r="B1" s="83" t="s">
        <v>220</v>
      </c>
      <c r="C1" s="84">
        <v>46022</v>
      </c>
    </row>
    <row r="2" spans="1:3" s="85" customFormat="1" x14ac:dyDescent="0.25">
      <c r="A2" s="85" t="s">
        <v>219</v>
      </c>
      <c r="B2" s="85" t="s">
        <v>222</v>
      </c>
      <c r="C2" s="85" t="s">
        <v>221</v>
      </c>
    </row>
    <row r="3" spans="1:3" x14ac:dyDescent="0.25">
      <c r="A3" t="s">
        <v>10</v>
      </c>
      <c r="B3" t="s">
        <v>2</v>
      </c>
      <c r="C3" t="s">
        <v>209</v>
      </c>
    </row>
    <row r="4" spans="1:3" x14ac:dyDescent="0.25">
      <c r="A4" t="s">
        <v>21</v>
      </c>
      <c r="B4" t="s">
        <v>2</v>
      </c>
      <c r="C4" t="s">
        <v>209</v>
      </c>
    </row>
    <row r="5" spans="1:3" x14ac:dyDescent="0.25">
      <c r="A5" t="s">
        <v>22</v>
      </c>
      <c r="B5" t="s">
        <v>2</v>
      </c>
      <c r="C5" t="s">
        <v>209</v>
      </c>
    </row>
    <row r="6" spans="1:3" x14ac:dyDescent="0.25">
      <c r="A6" t="s">
        <v>211</v>
      </c>
      <c r="B6" t="s">
        <v>2</v>
      </c>
      <c r="C6" t="s">
        <v>209</v>
      </c>
    </row>
    <row r="7" spans="1:3" x14ac:dyDescent="0.25">
      <c r="A7" t="s">
        <v>212</v>
      </c>
      <c r="B7" t="s">
        <v>2</v>
      </c>
      <c r="C7" t="s">
        <v>209</v>
      </c>
    </row>
    <row r="8" spans="1:3" x14ac:dyDescent="0.25">
      <c r="A8" t="s">
        <v>52</v>
      </c>
      <c r="B8" t="s">
        <v>2</v>
      </c>
      <c r="C8" t="s">
        <v>209</v>
      </c>
    </row>
    <row r="9" spans="1:3" x14ac:dyDescent="0.25">
      <c r="A9" t="s">
        <v>35</v>
      </c>
      <c r="B9" t="s">
        <v>2</v>
      </c>
      <c r="C9" t="s">
        <v>210</v>
      </c>
    </row>
    <row r="10" spans="1:3" x14ac:dyDescent="0.25">
      <c r="A10" t="s">
        <v>52</v>
      </c>
      <c r="B10" t="s">
        <v>2</v>
      </c>
      <c r="C10" t="s">
        <v>210</v>
      </c>
    </row>
    <row r="11" spans="1:3" x14ac:dyDescent="0.25">
      <c r="A11" t="s">
        <v>68</v>
      </c>
      <c r="B11" t="s">
        <v>54</v>
      </c>
      <c r="C11" t="s">
        <v>209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A8B8-E6E6-4C99-9941-A7712FBC0E30}">
  <sheetPr codeName="Sheet7">
    <tabColor theme="7"/>
  </sheetPr>
  <dimension ref="A1:AN25"/>
  <sheetViews>
    <sheetView showGridLines="0" zoomScaleNormal="100" workbookViewId="0">
      <selection activeCell="B21" sqref="B21"/>
    </sheetView>
  </sheetViews>
  <sheetFormatPr defaultColWidth="8.875" defaultRowHeight="14.25" x14ac:dyDescent="0.2"/>
  <cols>
    <col min="1" max="1" width="4" style="10" customWidth="1"/>
    <col min="2" max="2" width="41" style="54" customWidth="1"/>
    <col min="3" max="3" width="12.75" style="20" customWidth="1"/>
    <col min="4" max="4" width="43.625" style="20" bestFit="1" customWidth="1"/>
    <col min="5" max="5" width="8.875" style="20"/>
    <col min="6" max="6" width="56.5" style="20" bestFit="1" customWidth="1"/>
    <col min="7" max="7" width="8.25" style="20" customWidth="1"/>
    <col min="8" max="8" width="30.25" style="20" customWidth="1"/>
    <col min="9" max="9" width="7.125" style="20" bestFit="1" customWidth="1"/>
    <col min="10" max="10" width="47.5" style="20" bestFit="1" customWidth="1"/>
    <col min="11" max="11" width="8.875" style="20"/>
    <col min="12" max="12" width="47.5" style="20" customWidth="1"/>
    <col min="13" max="13" width="20.125" style="20" bestFit="1" customWidth="1"/>
    <col min="14" max="14" width="30" style="20" customWidth="1"/>
    <col min="15" max="15" width="8.875" style="20"/>
    <col min="16" max="16" width="45.625" style="20" bestFit="1" customWidth="1"/>
    <col min="17" max="17" width="46.875" style="20" bestFit="1" customWidth="1"/>
    <col min="18" max="16384" width="8.875" style="20"/>
  </cols>
  <sheetData>
    <row r="1" spans="1:40" s="51" customFormat="1" x14ac:dyDescent="0.2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40" s="51" customFormat="1" ht="18" x14ac:dyDescent="0.25">
      <c r="B2" s="53" t="s">
        <v>218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1:40" s="51" customFormat="1" x14ac:dyDescent="0.2">
      <c r="B3" s="52" t="str">
        <f>'[1]Bills Pay Ph QR'!B3</f>
        <v>31 December 2025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40" s="51" customFormat="1" x14ac:dyDescent="0.2">
      <c r="B4" s="51" t="s">
        <v>187</v>
      </c>
      <c r="C4" s="52"/>
      <c r="D4" s="52"/>
      <c r="E4" s="52"/>
      <c r="F4" s="52"/>
      <c r="M4" s="52"/>
      <c r="N4" s="52"/>
      <c r="O4" s="52"/>
      <c r="P4" s="52"/>
      <c r="Q4" s="52"/>
      <c r="R4" s="52"/>
      <c r="S4" s="52"/>
      <c r="AF4" s="52"/>
      <c r="AN4" s="52"/>
    </row>
    <row r="5" spans="1:40" s="51" customFormat="1" x14ac:dyDescent="0.2">
      <c r="C5" s="52"/>
      <c r="D5" s="52"/>
      <c r="E5" s="52"/>
      <c r="F5" s="52"/>
      <c r="M5" s="52"/>
      <c r="N5" s="52"/>
      <c r="O5" s="52"/>
      <c r="P5" s="52"/>
      <c r="Q5" s="52"/>
      <c r="R5" s="52"/>
      <c r="S5" s="52"/>
      <c r="AF5" s="52"/>
      <c r="AN5" s="52"/>
    </row>
    <row r="6" spans="1:40" ht="17.25" x14ac:dyDescent="0.2">
      <c r="K6" s="55">
        <v>20</v>
      </c>
      <c r="L6" s="56" t="s">
        <v>203</v>
      </c>
      <c r="M6" s="57">
        <v>40</v>
      </c>
      <c r="N6" s="57">
        <v>1138</v>
      </c>
      <c r="O6" s="4"/>
      <c r="P6" s="60"/>
      <c r="Q6" s="60"/>
      <c r="R6" s="60"/>
      <c r="S6" s="61"/>
    </row>
    <row r="7" spans="1:40" ht="28.5" x14ac:dyDescent="0.2">
      <c r="A7" s="48"/>
      <c r="B7" s="35" t="s">
        <v>2</v>
      </c>
      <c r="K7" s="55">
        <v>21</v>
      </c>
      <c r="L7" s="56" t="s">
        <v>205</v>
      </c>
      <c r="M7" s="57">
        <v>12</v>
      </c>
      <c r="N7" s="57">
        <v>710</v>
      </c>
      <c r="O7" s="4"/>
      <c r="P7" s="60"/>
      <c r="Q7" s="60"/>
      <c r="R7" s="60"/>
      <c r="S7" s="61"/>
    </row>
    <row r="8" spans="1:40" ht="17.25" x14ac:dyDescent="0.2">
      <c r="A8" s="37"/>
      <c r="B8" s="38" t="s">
        <v>209</v>
      </c>
      <c r="K8" s="55">
        <v>22</v>
      </c>
      <c r="L8" s="56" t="s">
        <v>213</v>
      </c>
      <c r="M8" s="57">
        <v>157</v>
      </c>
      <c r="N8" s="57">
        <v>684</v>
      </c>
      <c r="O8" s="4"/>
      <c r="P8" s="60"/>
      <c r="Q8" s="60"/>
      <c r="R8" s="60"/>
      <c r="S8" s="60"/>
    </row>
    <row r="9" spans="1:40" ht="17.25" x14ac:dyDescent="0.2">
      <c r="A9" s="37">
        <v>1</v>
      </c>
      <c r="B9" s="9" t="s">
        <v>10</v>
      </c>
      <c r="D9" s="62"/>
      <c r="K9" s="55">
        <v>23</v>
      </c>
      <c r="L9" s="56" t="s">
        <v>214</v>
      </c>
      <c r="M9" s="57">
        <v>34</v>
      </c>
      <c r="N9" s="57">
        <v>643</v>
      </c>
      <c r="O9" s="4"/>
      <c r="P9" s="60"/>
      <c r="Q9" s="60"/>
      <c r="R9" s="60"/>
      <c r="S9" s="60"/>
    </row>
    <row r="10" spans="1:40" ht="17.25" x14ac:dyDescent="0.2">
      <c r="A10" s="37">
        <f>A9+1</f>
        <v>2</v>
      </c>
      <c r="B10" s="9" t="s">
        <v>21</v>
      </c>
      <c r="K10" s="55">
        <v>24</v>
      </c>
      <c r="L10" s="56" t="s">
        <v>208</v>
      </c>
      <c r="M10" s="57">
        <v>2</v>
      </c>
      <c r="N10" s="57">
        <v>529</v>
      </c>
      <c r="O10" s="4"/>
      <c r="P10" s="60"/>
      <c r="Q10" s="60"/>
      <c r="R10" s="60"/>
      <c r="S10" s="60"/>
    </row>
    <row r="11" spans="1:40" ht="17.25" x14ac:dyDescent="0.2">
      <c r="A11" s="37">
        <v>3</v>
      </c>
      <c r="B11" s="9" t="s">
        <v>22</v>
      </c>
      <c r="K11" s="55">
        <v>25</v>
      </c>
      <c r="L11" s="56" t="s">
        <v>215</v>
      </c>
      <c r="M11" s="57">
        <v>28</v>
      </c>
      <c r="N11" s="57">
        <v>400</v>
      </c>
      <c r="O11" s="4"/>
      <c r="P11" s="60"/>
      <c r="Q11" s="60"/>
      <c r="R11" s="60"/>
      <c r="S11" s="60"/>
    </row>
    <row r="12" spans="1:40" ht="17.25" x14ac:dyDescent="0.2">
      <c r="A12" s="37">
        <v>4</v>
      </c>
      <c r="B12" s="9" t="s">
        <v>211</v>
      </c>
      <c r="K12" s="55">
        <v>26</v>
      </c>
      <c r="L12" s="56" t="s">
        <v>216</v>
      </c>
      <c r="M12" s="57">
        <v>18</v>
      </c>
      <c r="N12" s="57">
        <v>394</v>
      </c>
      <c r="O12" s="4"/>
      <c r="P12" s="60"/>
      <c r="Q12" s="60"/>
      <c r="R12" s="60"/>
      <c r="S12" s="60"/>
    </row>
    <row r="13" spans="1:40" ht="17.25" x14ac:dyDescent="0.2">
      <c r="A13" s="37">
        <v>5</v>
      </c>
      <c r="B13" s="9" t="s">
        <v>212</v>
      </c>
      <c r="K13" s="55"/>
      <c r="L13" s="56"/>
      <c r="M13" s="57"/>
      <c r="N13" s="57"/>
      <c r="O13" s="4"/>
      <c r="P13" s="60"/>
      <c r="Q13" s="60"/>
      <c r="R13" s="60"/>
      <c r="S13" s="60"/>
    </row>
    <row r="14" spans="1:40" ht="17.25" x14ac:dyDescent="0.2">
      <c r="A14" s="37">
        <v>6</v>
      </c>
      <c r="B14" s="9" t="s">
        <v>52</v>
      </c>
      <c r="K14" s="55"/>
      <c r="L14" s="56"/>
      <c r="M14" s="57"/>
      <c r="N14" s="57"/>
      <c r="O14" s="4"/>
      <c r="P14" s="60"/>
      <c r="Q14" s="60"/>
      <c r="R14" s="60"/>
      <c r="S14" s="60"/>
    </row>
    <row r="15" spans="1:40" ht="17.25" x14ac:dyDescent="0.2">
      <c r="A15" s="37"/>
      <c r="B15" s="38"/>
      <c r="D15" s="62"/>
      <c r="K15" s="55">
        <v>27</v>
      </c>
      <c r="L15" s="56" t="s">
        <v>206</v>
      </c>
      <c r="M15" s="57">
        <v>22</v>
      </c>
      <c r="N15" s="57">
        <v>387</v>
      </c>
      <c r="O15" s="4"/>
      <c r="P15" s="60"/>
      <c r="Q15" s="60"/>
      <c r="R15" s="60"/>
      <c r="S15" s="60"/>
    </row>
    <row r="16" spans="1:40" ht="17.25" x14ac:dyDescent="0.2">
      <c r="A16" s="37"/>
      <c r="B16" s="38" t="s">
        <v>210</v>
      </c>
      <c r="K16" s="55">
        <v>28</v>
      </c>
      <c r="L16" s="56" t="s">
        <v>207</v>
      </c>
      <c r="M16" s="57">
        <v>14</v>
      </c>
      <c r="N16" s="57">
        <v>376</v>
      </c>
      <c r="O16" s="4"/>
      <c r="P16" s="60"/>
      <c r="Q16" s="60"/>
      <c r="R16" s="60"/>
      <c r="S16" s="60"/>
    </row>
    <row r="17" spans="1:19" ht="17.25" x14ac:dyDescent="0.2">
      <c r="A17" s="37">
        <v>1</v>
      </c>
      <c r="B17" s="9" t="s">
        <v>35</v>
      </c>
      <c r="K17" s="55">
        <v>29</v>
      </c>
      <c r="L17" s="56" t="s">
        <v>204</v>
      </c>
      <c r="M17" s="57">
        <v>1</v>
      </c>
      <c r="N17" s="57">
        <v>367</v>
      </c>
      <c r="O17" s="4"/>
      <c r="P17" s="60"/>
      <c r="Q17" s="60"/>
      <c r="R17" s="60"/>
      <c r="S17" s="60"/>
    </row>
    <row r="18" spans="1:19" ht="17.25" x14ac:dyDescent="0.2">
      <c r="A18" s="37">
        <v>2</v>
      </c>
      <c r="B18" s="9" t="s">
        <v>52</v>
      </c>
      <c r="K18" s="55">
        <v>30</v>
      </c>
      <c r="L18" s="56" t="s">
        <v>217</v>
      </c>
      <c r="M18" s="57">
        <v>15</v>
      </c>
      <c r="N18" s="57">
        <v>319</v>
      </c>
      <c r="O18" s="4"/>
      <c r="P18" s="60"/>
      <c r="Q18" s="60"/>
      <c r="R18" s="60"/>
      <c r="S18" s="60"/>
    </row>
    <row r="19" spans="1:19" ht="17.25" x14ac:dyDescent="0.2">
      <c r="G19" s="63"/>
      <c r="H19" s="64"/>
      <c r="M19" s="63"/>
      <c r="N19" s="63"/>
      <c r="O19" s="63"/>
      <c r="P19" s="60"/>
      <c r="Q19" s="60"/>
      <c r="R19" s="60"/>
      <c r="S19" s="60"/>
    </row>
    <row r="20" spans="1:19" ht="17.25" x14ac:dyDescent="0.2">
      <c r="P20" s="60"/>
      <c r="Q20" s="60"/>
      <c r="R20" s="60"/>
      <c r="S20" s="60"/>
    </row>
    <row r="21" spans="1:19" ht="17.25" x14ac:dyDescent="0.2">
      <c r="A21" s="42"/>
      <c r="B21" s="35" t="s">
        <v>54</v>
      </c>
      <c r="M21" s="65"/>
      <c r="N21" s="65"/>
      <c r="P21" s="60"/>
      <c r="Q21" s="60"/>
      <c r="R21" s="60"/>
      <c r="S21" s="60"/>
    </row>
    <row r="22" spans="1:19" ht="15.75" x14ac:dyDescent="0.25">
      <c r="A22" s="37"/>
      <c r="B22" s="38" t="s">
        <v>209</v>
      </c>
      <c r="P22" s="59"/>
      <c r="Q22"/>
      <c r="R22"/>
      <c r="S22"/>
    </row>
    <row r="23" spans="1:19" ht="16.5" x14ac:dyDescent="0.25">
      <c r="A23" s="37">
        <v>1</v>
      </c>
      <c r="B23" s="9" t="s">
        <v>68</v>
      </c>
      <c r="P23" s="58"/>
      <c r="Q23"/>
      <c r="R23"/>
      <c r="S23"/>
    </row>
    <row r="24" spans="1:19" ht="15.75" x14ac:dyDescent="0.25">
      <c r="P24" s="59"/>
      <c r="Q24"/>
      <c r="R24"/>
      <c r="S24"/>
    </row>
    <row r="25" spans="1:19" ht="16.5" x14ac:dyDescent="0.25">
      <c r="P25" s="58"/>
      <c r="Q25"/>
      <c r="R25"/>
      <c r="S25"/>
    </row>
  </sheetData>
  <pageMargins left="0.75" right="0.75" top="1" bottom="1" header="0.5" footer="0.5"/>
  <pageSetup orientation="portrait" horizontalDpi="4294967292" verticalDpi="4294967292" r:id="rId1"/>
  <headerFooter>
    <oddFooter>&amp;L_x000D_&amp;1#&amp;"Calibri"&amp;11&amp;K000000 Classification: GENERAL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InstaPay Participants</vt:lpstr>
      <vt:lpstr>PESONet Participants</vt:lpstr>
      <vt:lpstr>InstaPay QR Participants</vt:lpstr>
      <vt:lpstr>InstaPay Raw</vt:lpstr>
      <vt:lpstr>PESONet Raw</vt:lpstr>
      <vt:lpstr>InstaPay QR Raw</vt:lpstr>
      <vt:lpstr>QR Ph P2M Participants</vt:lpstr>
      <vt:lpstr>QR Ph P2M Raw</vt:lpstr>
      <vt:lpstr>Bills Pay QR Participants</vt:lpstr>
      <vt:lpstr>Bills Pay QR Raw</vt:lpstr>
      <vt:lpstr>EGov Pay Participants</vt:lpstr>
      <vt:lpstr>EGov Pay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Roel P. Lapus</dc:creator>
  <cp:lastModifiedBy>Adrian Roel P. Lapus</cp:lastModifiedBy>
  <dcterms:created xsi:type="dcterms:W3CDTF">2026-02-03T02:05:10Z</dcterms:created>
  <dcterms:modified xsi:type="dcterms:W3CDTF">2026-02-03T03:11:58Z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2026-02-03T02:13:58Z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3d977df9-bb81-42bc-baa4-c2d695a0e53a</vt:lpwstr>
  </property>
  <property fmtid="{D5CDD505-2E9C-101B-9397-08002B2CF9AE}" pid="8" name="MSIP_Label_d9a2f4c6-d10d-4c1c-82e1-7a921120c69a_ContentBits">
    <vt:lpwstr>2</vt:lpwstr>
  </property>
  <property fmtid="{D5CDD505-2E9C-101B-9397-08002B2CF9AE}" pid="9" name="MSIP_Label_d9a2f4c6-d10d-4c1c-82e1-7a921120c69a_Tag">
    <vt:lpwstr>10, 3, 0, 1</vt:lpwstr>
  </property>
</Properties>
</file>